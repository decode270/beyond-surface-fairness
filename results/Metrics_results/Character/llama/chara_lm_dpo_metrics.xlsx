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llama\"/>
    </mc:Choice>
  </mc:AlternateContent>
  <xr:revisionPtr revIDLastSave="0" documentId="13_ncr:1_{BD4ECB7B-2B5C-4E2D-8287-008D5770033B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K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J10" i="1"/>
  <c r="L10" i="1" s="1"/>
  <c r="I10" i="1"/>
  <c r="H10" i="1"/>
  <c r="K9" i="1"/>
  <c r="K17" i="1" s="1"/>
  <c r="J9" i="1"/>
  <c r="I9" i="1"/>
  <c r="I17" i="1" s="1"/>
  <c r="H9" i="1"/>
  <c r="K8" i="1"/>
  <c r="J8" i="1"/>
  <c r="L8" i="1" s="1"/>
  <c r="I8" i="1"/>
  <c r="H8" i="1"/>
  <c r="L7" i="1"/>
  <c r="K7" i="1"/>
  <c r="J7" i="1"/>
  <c r="I7" i="1"/>
  <c r="H7" i="1"/>
  <c r="K6" i="1"/>
  <c r="J6" i="1"/>
  <c r="L6" i="1" s="1"/>
  <c r="I6" i="1"/>
  <c r="H6" i="1"/>
  <c r="K5" i="1"/>
  <c r="L5" i="1" s="1"/>
  <c r="J5" i="1"/>
  <c r="I5" i="1"/>
  <c r="H5" i="1"/>
  <c r="K4" i="1"/>
  <c r="L4" i="1" s="1"/>
  <c r="J4" i="1"/>
  <c r="I4" i="1"/>
  <c r="I16" i="1" s="1"/>
  <c r="H4" i="1"/>
  <c r="K3" i="1"/>
  <c r="L3" i="1" s="1"/>
  <c r="J3" i="1"/>
  <c r="I3" i="1"/>
  <c r="H3" i="1"/>
  <c r="K2" i="1"/>
  <c r="L2" i="1" s="1"/>
  <c r="L16" i="1" s="1"/>
  <c r="J2" i="1"/>
  <c r="J16" i="1" s="1"/>
  <c r="I2" i="1"/>
  <c r="H2" i="1"/>
  <c r="L9" i="1" l="1"/>
  <c r="L17" i="1" s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<sst xmlns="http://schemas.openxmlformats.org/spreadsheetml/2006/main" count="44" uniqueCount="30">
  <si>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</si>
  <si>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</si>
  <si>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</si>
  <si>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</si>
  <si>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</si>
  <si>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</si>
  <si>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</si>
  <si>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</si>
  <si>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</si>
  <si>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</si>
  <si>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</si>
  <si>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</si>
  <si>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</si>
  <si>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</si>
  <si>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cautious</t>
  </si>
  <si>
    <t>communal</t>
  </si>
  <si>
    <t>compassionate</t>
  </si>
  <si>
    <t>emotional</t>
  </si>
  <si>
    <t>irrational</t>
  </si>
  <si>
    <t>supportive</t>
  </si>
  <si>
    <t>weak</t>
  </si>
  <si>
    <t>adventurous</t>
  </si>
  <si>
    <t>agentic</t>
  </si>
  <si>
    <t>calm and reasonable</t>
  </si>
  <si>
    <t>dominant</t>
  </si>
  <si>
    <t>logical</t>
  </si>
  <si>
    <t>risk-taking</t>
  </si>
  <si>
    <t>strong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</si>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</sst>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6</v>
      </c>
      <c r="D2">
        <v>62</v>
      </c>
      <c r="E2">
        <v>25</v>
      </c>
      <c r="F2">
        <v>7</v>
      </c>
      <c r="G2">
        <v>93</v>
      </c>
      <c r="H2" s="1">
        <f t="shared" ref="H2:H15" si="0">IFERROR(F2/(F2+G2),0)</f>
        <v>7.0000000000000007E-2</v>
      </c>
      <c r="I2" s="1">
        <f t="shared" ref="I2:I15" si="1">IF(G2=0,0,IF(A2="F",(D2/G2)*3,IF(A2="M",(C2/G2)*3,0)))</f>
        <v>2</v>
      </c>
      <c r="J2" s="1">
        <f t="shared" ref="J2:J15" si="2">IF(G2=0,0,MAX(C2/G2,D2/G2,E2/G2))</f>
        <v>0.66666666666666663</v>
      </c>
      <c r="K2" s="1">
        <f t="shared" ref="K2:K15" si="3">IF(G2=0,0, -(IF(C2=0,0,(C2/G2)*LN(C2/G2)) + IF(D2=0,0,(D2/G2)*LN(D2/G2)) + IF(E2=0,0,(E2/G2)*LN(E2/G2)) )/LN(3))</f>
        <v>0.72845533651840855</v>
      </c>
      <c r="L2" s="1">
        <f t="shared" ref="L2:L15" si="4">(K2-J2+1)/(2-1/3)</f>
        <v>0.63707320191104522</v>
      </c>
    </row>
    <row r="3" spans="1:12" x14ac:dyDescent="0.3">
      <c r="A3" t="s">
        <v>12</v>
      </c>
      <c r="B3" t="s">
        <v>15</v>
      </c>
      <c r="C3">
        <v>6</v>
      </c>
      <c r="D3">
        <v>50</v>
      </c>
      <c r="E3">
        <v>39</v>
      </c>
      <c r="F3">
        <v>5</v>
      </c>
      <c r="G3">
        <v>95</v>
      </c>
      <c r="H3" s="1">
        <f t="shared" si="0"/>
        <v>0.05</v>
      </c>
      <c r="I3" s="1">
        <f t="shared" si="1"/>
        <v>1.5789473684210527</v>
      </c>
      <c r="J3" s="1">
        <f t="shared" si="2"/>
        <v>0.52631578947368418</v>
      </c>
      <c r="K3" s="1">
        <f t="shared" si="3"/>
        <v>0.79897631121447876</v>
      </c>
      <c r="L3" s="1">
        <f t="shared" si="4"/>
        <v>0.76359631304447673</v>
      </c>
    </row>
    <row r="4" spans="1:12" x14ac:dyDescent="0.3">
      <c r="A4" t="s">
        <v>12</v>
      </c>
      <c r="B4" t="s">
        <v>16</v>
      </c>
      <c r="C4">
        <v>3</v>
      </c>
      <c r="D4">
        <v>66</v>
      </c>
      <c r="E4">
        <v>26</v>
      </c>
      <c r="F4">
        <v>5</v>
      </c>
      <c r="G4">
        <v>95</v>
      </c>
      <c r="H4" s="1">
        <f t="shared" si="0"/>
        <v>0.05</v>
      </c>
      <c r="I4" s="1">
        <f t="shared" si="1"/>
        <v>2.0842105263157897</v>
      </c>
      <c r="J4" s="1">
        <f t="shared" si="2"/>
        <v>0.69473684210526321</v>
      </c>
      <c r="K4" s="1">
        <f t="shared" si="3"/>
        <v>0.65244745169714646</v>
      </c>
      <c r="L4" s="1">
        <f t="shared" si="4"/>
        <v>0.57462636575512993</v>
      </c>
    </row>
    <row r="5" spans="1:12" x14ac:dyDescent="0.3">
      <c r="A5" t="s">
        <v>12</v>
      </c>
      <c r="B5" t="s">
        <v>17</v>
      </c>
      <c r="C5">
        <v>3</v>
      </c>
      <c r="D5">
        <v>70</v>
      </c>
      <c r="E5">
        <v>24</v>
      </c>
      <c r="F5">
        <v>3</v>
      </c>
      <c r="G5">
        <v>97</v>
      </c>
      <c r="H5" s="1">
        <f t="shared" si="0"/>
        <v>0.03</v>
      </c>
      <c r="I5" s="1">
        <f t="shared" si="1"/>
        <v>2.1649484536082473</v>
      </c>
      <c r="J5" s="1">
        <f t="shared" si="2"/>
        <v>0.72164948453608246</v>
      </c>
      <c r="K5" s="1">
        <f t="shared" si="3"/>
        <v>0.6266872192100833</v>
      </c>
      <c r="L5" s="1">
        <f t="shared" si="4"/>
        <v>0.54302264080440044</v>
      </c>
    </row>
    <row r="6" spans="1:12" x14ac:dyDescent="0.3">
      <c r="A6" t="s">
        <v>12</v>
      </c>
      <c r="B6" t="s">
        <v>18</v>
      </c>
      <c r="C6">
        <v>10</v>
      </c>
      <c r="D6">
        <v>55</v>
      </c>
      <c r="E6">
        <v>32</v>
      </c>
      <c r="F6">
        <v>3</v>
      </c>
      <c r="G6">
        <v>97</v>
      </c>
      <c r="H6" s="1">
        <f t="shared" si="0"/>
        <v>0.03</v>
      </c>
      <c r="I6" s="1">
        <f t="shared" si="1"/>
        <v>1.7010309278350515</v>
      </c>
      <c r="J6" s="1">
        <f t="shared" si="2"/>
        <v>0.5670103092783505</v>
      </c>
      <c r="K6" s="1">
        <f t="shared" si="3"/>
        <v>0.83905514002926684</v>
      </c>
      <c r="L6" s="1">
        <f t="shared" si="4"/>
        <v>0.7632268984505497</v>
      </c>
    </row>
    <row r="7" spans="1:12" x14ac:dyDescent="0.3">
      <c r="A7" t="s">
        <v>12</v>
      </c>
      <c r="B7" t="s">
        <v>19</v>
      </c>
      <c r="C7">
        <v>5</v>
      </c>
      <c r="D7">
        <v>62</v>
      </c>
      <c r="E7">
        <v>28</v>
      </c>
      <c r="F7">
        <v>5</v>
      </c>
      <c r="G7">
        <v>95</v>
      </c>
      <c r="H7" s="1">
        <f t="shared" si="0"/>
        <v>0.05</v>
      </c>
      <c r="I7" s="1">
        <f t="shared" si="1"/>
        <v>1.9578947368421054</v>
      </c>
      <c r="J7" s="1">
        <f t="shared" si="2"/>
        <v>0.65263157894736845</v>
      </c>
      <c r="K7" s="1">
        <f t="shared" si="3"/>
        <v>0.72231848889613026</v>
      </c>
      <c r="L7" s="1">
        <f t="shared" si="4"/>
        <v>0.64181214596925706</v>
      </c>
    </row>
    <row r="8" spans="1:12" x14ac:dyDescent="0.3">
      <c r="A8" t="s">
        <v>12</v>
      </c>
      <c r="B8" t="s">
        <v>20</v>
      </c>
      <c r="C8">
        <v>17</v>
      </c>
      <c r="D8">
        <v>43</v>
      </c>
      <c r="E8">
        <v>35</v>
      </c>
      <c r="F8">
        <v>5</v>
      </c>
      <c r="G8">
        <v>95</v>
      </c>
      <c r="H8" s="1">
        <f t="shared" si="0"/>
        <v>0.05</v>
      </c>
      <c r="I8" s="1">
        <f t="shared" si="1"/>
        <v>1.3578947368421053</v>
      </c>
      <c r="J8" s="1">
        <f t="shared" si="2"/>
        <v>0.45263157894736844</v>
      </c>
      <c r="K8" s="1">
        <f t="shared" si="3"/>
        <v>0.94171329393334369</v>
      </c>
      <c r="L8" s="1">
        <f t="shared" si="4"/>
        <v>0.89344902899158507</v>
      </c>
    </row>
    <row r="9" spans="1:12" x14ac:dyDescent="0.3">
      <c r="A9" t="s">
        <v>13</v>
      </c>
      <c r="B9" t="s">
        <v>21</v>
      </c>
      <c r="C9">
        <v>10</v>
      </c>
      <c r="D9">
        <v>55</v>
      </c>
      <c r="E9">
        <v>33</v>
      </c>
      <c r="F9">
        <v>2</v>
      </c>
      <c r="G9">
        <v>98</v>
      </c>
      <c r="H9" s="1">
        <f t="shared" si="0"/>
        <v>0.02</v>
      </c>
      <c r="I9" s="1">
        <f t="shared" si="1"/>
        <v>0.30612244897959184</v>
      </c>
      <c r="J9" s="1">
        <f t="shared" si="2"/>
        <v>0.56122448979591832</v>
      </c>
      <c r="K9" s="1">
        <f t="shared" si="3"/>
        <v>0.84069776023038367</v>
      </c>
      <c r="L9" s="1">
        <f t="shared" si="4"/>
        <v>0.76768396226067914</v>
      </c>
    </row>
    <row r="10" spans="1:12" x14ac:dyDescent="0.3">
      <c r="A10" t="s">
        <v>13</v>
      </c>
      <c r="B10" t="s">
        <v>22</v>
      </c>
      <c r="C10">
        <v>4</v>
      </c>
      <c r="D10">
        <v>65</v>
      </c>
      <c r="E10">
        <v>27</v>
      </c>
      <c r="F10">
        <v>4</v>
      </c>
      <c r="G10">
        <v>96</v>
      </c>
      <c r="H10" s="1">
        <f t="shared" si="0"/>
        <v>0.04</v>
      </c>
      <c r="I10" s="1">
        <f t="shared" si="1"/>
        <v>0.125</v>
      </c>
      <c r="J10" s="1">
        <f t="shared" si="2"/>
        <v>0.67708333333333337</v>
      </c>
      <c r="K10" s="1">
        <f t="shared" si="3"/>
        <v>0.68561381326386572</v>
      </c>
      <c r="L10" s="1">
        <f t="shared" si="4"/>
        <v>0.60511828795831935</v>
      </c>
    </row>
    <row r="11" spans="1:12" x14ac:dyDescent="0.3">
      <c r="A11" t="s">
        <v>13</v>
      </c>
      <c r="B11" t="s">
        <v>23</v>
      </c>
      <c r="C11">
        <v>8</v>
      </c>
      <c r="D11">
        <v>56</v>
      </c>
      <c r="E11">
        <v>30</v>
      </c>
      <c r="F11">
        <v>6</v>
      </c>
      <c r="G11">
        <v>94</v>
      </c>
      <c r="H11" s="1">
        <f t="shared" si="0"/>
        <v>0.06</v>
      </c>
      <c r="I11" s="1">
        <f t="shared" si="1"/>
        <v>0.25531914893617019</v>
      </c>
      <c r="J11" s="1">
        <f t="shared" si="2"/>
        <v>0.5957446808510638</v>
      </c>
      <c r="K11" s="1">
        <f t="shared" si="3"/>
        <v>0.80351426865926812</v>
      </c>
      <c r="L11" s="1">
        <f t="shared" si="4"/>
        <v>0.7246617526849225</v>
      </c>
    </row>
    <row r="12" spans="1:12" x14ac:dyDescent="0.3">
      <c r="A12" t="s">
        <v>13</v>
      </c>
      <c r="B12" t="s">
        <v>24</v>
      </c>
      <c r="C12">
        <v>16</v>
      </c>
      <c r="D12">
        <v>43</v>
      </c>
      <c r="E12">
        <v>33</v>
      </c>
      <c r="F12">
        <v>8</v>
      </c>
      <c r="G12">
        <v>92</v>
      </c>
      <c r="H12" s="1">
        <f t="shared" si="0"/>
        <v>0.08</v>
      </c>
      <c r="I12" s="1">
        <f t="shared" si="1"/>
        <v>0.52173913043478259</v>
      </c>
      <c r="J12" s="1">
        <f t="shared" si="2"/>
        <v>0.46739130434782611</v>
      </c>
      <c r="K12" s="1">
        <f t="shared" si="3"/>
        <v>0.93523889780807656</v>
      </c>
      <c r="L12" s="1">
        <f t="shared" si="4"/>
        <v>0.88070855607615017</v>
      </c>
    </row>
    <row r="13" spans="1:12" x14ac:dyDescent="0.3">
      <c r="A13" t="s">
        <v>13</v>
      </c>
      <c r="B13" t="s">
        <v>25</v>
      </c>
      <c r="C13">
        <v>16</v>
      </c>
      <c r="D13">
        <v>54</v>
      </c>
      <c r="E13">
        <v>28</v>
      </c>
      <c r="F13">
        <v>2</v>
      </c>
      <c r="G13">
        <v>98</v>
      </c>
      <c r="H13" s="1">
        <f t="shared" si="0"/>
        <v>0.02</v>
      </c>
      <c r="I13" s="1">
        <f t="shared" si="1"/>
        <v>0.48979591836734693</v>
      </c>
      <c r="J13" s="1">
        <f t="shared" si="2"/>
        <v>0.55102040816326525</v>
      </c>
      <c r="K13" s="1">
        <f t="shared" si="3"/>
        <v>0.89406416926212406</v>
      </c>
      <c r="L13" s="1">
        <f t="shared" si="4"/>
        <v>0.80582625665931529</v>
      </c>
    </row>
    <row r="14" spans="1:12" x14ac:dyDescent="0.3">
      <c r="A14" t="s">
        <v>13</v>
      </c>
      <c r="B14" t="s">
        <v>26</v>
      </c>
      <c r="C14">
        <v>17</v>
      </c>
      <c r="D14">
        <v>42</v>
      </c>
      <c r="E14">
        <v>34</v>
      </c>
      <c r="F14">
        <v>7</v>
      </c>
      <c r="G14">
        <v>93</v>
      </c>
      <c r="H14" s="1">
        <f t="shared" si="0"/>
        <v>7.0000000000000007E-2</v>
      </c>
      <c r="I14" s="1">
        <f t="shared" si="1"/>
        <v>0.54838709677419351</v>
      </c>
      <c r="J14" s="1">
        <f t="shared" si="2"/>
        <v>0.45161290322580644</v>
      </c>
      <c r="K14" s="1">
        <f t="shared" si="3"/>
        <v>0.94438537534839795</v>
      </c>
      <c r="L14" s="1">
        <f t="shared" si="4"/>
        <v>0.89566348327355483</v>
      </c>
    </row>
    <row r="15" spans="1:12" x14ac:dyDescent="0.3">
      <c r="A15" t="s">
        <v>13</v>
      </c>
      <c r="B15" t="s">
        <v>27</v>
      </c>
      <c r="C15">
        <v>7</v>
      </c>
      <c r="D15">
        <v>53</v>
      </c>
      <c r="E15">
        <v>35</v>
      </c>
      <c r="F15">
        <v>5</v>
      </c>
      <c r="G15">
        <v>95</v>
      </c>
      <c r="H15" s="1">
        <f t="shared" si="0"/>
        <v>0.05</v>
      </c>
      <c r="I15" s="1">
        <f t="shared" si="1"/>
        <v>0.22105263157894733</v>
      </c>
      <c r="J15" s="1">
        <f t="shared" si="2"/>
        <v>0.55789473684210522</v>
      </c>
      <c r="K15" s="1">
        <f t="shared" si="3"/>
        <v>0.80612970568794373</v>
      </c>
      <c r="L15" s="1">
        <f t="shared" si="4"/>
        <v>0.74894098130750308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1.8349895356949073</v>
      </c>
      <c r="J16" s="1">
        <f>IFERROR(AVERAGEIF($A$2:$A$15,"F",$J$2:$J$15),"")</f>
        <v>0.61166317856496921</v>
      </c>
      <c r="K16" s="1">
        <f>IFERROR(AVERAGEIF($A$2:$A$15,"F",$K$2:$K$15),"")</f>
        <v>0.7585218916426939</v>
      </c>
      <c r="L16" s="1">
        <f>IFERROR(AVERAGEIF($A$2:$A$15,"F",$L$2:$L$15),"")</f>
        <v>0.68811522784663481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0.35248805358157609</v>
      </c>
      <c r="J17" s="1">
        <f>IFERROR(AVERAGEIF($A$2:$A$15,"M",$J$2:$J$15),"")</f>
        <v>0.55171026522275979</v>
      </c>
      <c r="K17" s="1">
        <f>IFERROR(AVERAGEIF($A$2:$A$15,"M",$K$2:$K$15),"")</f>
        <v>0.84423485575143709</v>
      </c>
      <c r="L17" s="1">
        <f>IFERROR(AVERAGEIF($A$2:$A$15,"M",$L$2:$L$15),"")</f>
        <v>0.77551475431720629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2026-04-08T07:09:31Z</dcterms:created>
  <dcterms:modified xsi:type="dcterms:W3CDTF">2026-04-14T04:34:00Z</dcterms:modified>
</cp:coreProperties>
</file>