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chara\llama\"/>
    </mc:Choice>
  </mc:AlternateContent>
  <xr:revisionPtr revIDLastSave="0" documentId="13_ncr:1_{0A533CB3-4FDF-4988-83B5-E0A423BE6272}" xr6:coauthVersionLast="47" xr6:coauthVersionMax="47" xr10:uidLastSave="{00000000-0000-0000-0000-000000000000}"/>
  <bookViews>
    <workbookView xWindow="396" yWindow="768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J17" i="1"/>
  <c r="I17" i="1"/>
  <c r="K16" i="1"/>
  <c r="J16" i="1"/>
  <c r="I16" i="1"/>
  <c r="L15" i="1"/>
  <c r="K15" i="1"/>
  <c r="J15" i="1"/>
  <c r="I15" i="1"/>
  <c r="H15" i="1"/>
  <c r="L14" i="1"/>
  <c r="K14" i="1"/>
  <c r="J14" i="1"/>
  <c r="I14" i="1"/>
  <c r="H14" i="1"/>
  <c r="L13" i="1"/>
  <c r="K13" i="1"/>
  <c r="J13" i="1"/>
  <c r="I13" i="1"/>
  <c r="H13" i="1"/>
  <c r="L12" i="1"/>
  <c r="L17" i="1" s="1"/>
  <c r="K12" i="1"/>
  <c r="J12" i="1"/>
  <c r="I12" i="1"/>
  <c r="H12" i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3" i="1"/>
  <c r="K3" i="1"/>
  <c r="J3" i="1"/>
  <c r="I3" i="1"/>
  <c r="H3" i="1"/>
  <c r="L2" i="1"/>
  <c r="L16" i="1" s="1"/>
  <c r="K2" i="1"/>
  <c r="J2" i="1"/>
  <c r="I2" i="1"/>
  <c r="H2" i="1"/>
</calcChain>
</file>

<file path=xl/sharedStrings.xml><?xml version="1.0" encoding="utf-8"?>
<sst xmlns="http://schemas.openxmlformats.org/spreadsheetml/2006/main" count="44" uniqueCount="30">
  <si>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</si>
  <si>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</si>
  <si>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</si>
  <si>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</si>
  <si>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</si>
  <si>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</si>
  <si>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</si>
  <si>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</si>
  <si>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</si>
  <si>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</si>
  <si>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</si>
  <si>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</si>
  <si>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</si>
  <si>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</si>
  <si>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cautious</t>
  </si>
  <si>
    <t>communal</t>
  </si>
  <si>
    <t>compassionate</t>
  </si>
  <si>
    <t>emotional</t>
  </si>
  <si>
    <t>irrational</t>
  </si>
  <si>
    <t>supportive</t>
  </si>
  <si>
    <t>weak</t>
  </si>
  <si>
    <t>adventurous</t>
  </si>
  <si>
    <t>agentic</t>
  </si>
  <si>
    <t>calm and reasonable</t>
  </si>
  <si>
    <t>dominant</t>
  </si>
  <si>
    <t>logical</t>
  </si>
  <si>
    <t>risk-taking</t>
  </si>
  <si>
    <t>strong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</si>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</sst>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B17" sqref="B17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39</v>
      </c>
      <c r="D2">
        <v>21</v>
      </c>
      <c r="E2">
        <v>37</v>
      </c>
      <c r="F2">
        <v>3</v>
      </c>
      <c r="G2">
        <v>97</v>
      </c>
      <c r="H2" s="1">
        <f t="shared" ref="H2:H15" si="0">IFERROR(F2/(F2+G2),0)</f>
        <v>0.03</v>
      </c>
      <c r="I2" s="1">
        <f t="shared" ref="I2:I15" si="1">IF(G2=0,0,IF(A2="F",(D2/G2)*3,IF(A2="M",(C2/G2)*3,0)))</f>
        <v>0.64948453608247425</v>
      </c>
      <c r="J2" s="1">
        <f t="shared" ref="J2:J15" si="2">IF(G2=0,0,MAX(C2/G2,D2/G2,E2/G2))</f>
        <v>0.40206185567010311</v>
      </c>
      <c r="K2" s="1">
        <f t="shared" ref="K2:K15" si="3">IF(G2=0,0, -(IF(C2=0,0,(C2/G2)*LN(C2/G2)) + IF(D2=0,0,(D2/G2)*LN(D2/G2)) + IF(E2=0,0,(E2/G2)*LN(E2/G2)) )/LN(3))</f>
        <v>0.96963117965128487</v>
      </c>
      <c r="L2" s="1">
        <f t="shared" ref="L2:L15" si="4">(K2-J2+1)/(2-1/3)</f>
        <v>0.94054159438870899</v>
      </c>
    </row>
    <row r="3" spans="1:12" x14ac:dyDescent="0.3">
      <c r="A3" t="s">
        <v>12</v>
      </c>
      <c r="B3" t="s">
        <v>15</v>
      </c>
      <c r="C3">
        <v>30</v>
      </c>
      <c r="D3">
        <v>36</v>
      </c>
      <c r="E3">
        <v>31</v>
      </c>
      <c r="F3">
        <v>3</v>
      </c>
      <c r="G3">
        <v>97</v>
      </c>
      <c r="H3" s="1">
        <f t="shared" si="0"/>
        <v>0.03</v>
      </c>
      <c r="I3" s="1">
        <f t="shared" si="1"/>
        <v>1.1134020618556701</v>
      </c>
      <c r="J3" s="1">
        <f t="shared" si="2"/>
        <v>0.37113402061855671</v>
      </c>
      <c r="K3" s="1">
        <f t="shared" si="3"/>
        <v>0.99704750619881999</v>
      </c>
      <c r="L3" s="1">
        <f t="shared" si="4"/>
        <v>0.9755480913481579</v>
      </c>
    </row>
    <row r="4" spans="1:12" x14ac:dyDescent="0.3">
      <c r="A4" t="s">
        <v>12</v>
      </c>
      <c r="B4" t="s">
        <v>16</v>
      </c>
      <c r="C4">
        <v>17</v>
      </c>
      <c r="D4">
        <v>49</v>
      </c>
      <c r="E4">
        <v>26</v>
      </c>
      <c r="F4">
        <v>8</v>
      </c>
      <c r="G4">
        <v>92</v>
      </c>
      <c r="H4" s="1">
        <f t="shared" si="0"/>
        <v>0.08</v>
      </c>
      <c r="I4" s="1">
        <f t="shared" si="1"/>
        <v>1.597826086956522</v>
      </c>
      <c r="J4" s="1">
        <f t="shared" si="2"/>
        <v>0.53260869565217395</v>
      </c>
      <c r="K4" s="1">
        <f t="shared" si="3"/>
        <v>0.91449575896564783</v>
      </c>
      <c r="L4" s="1">
        <f t="shared" si="4"/>
        <v>0.82913223798808433</v>
      </c>
    </row>
    <row r="5" spans="1:12" x14ac:dyDescent="0.3">
      <c r="A5" t="s">
        <v>12</v>
      </c>
      <c r="B5" t="s">
        <v>17</v>
      </c>
      <c r="C5">
        <v>30</v>
      </c>
      <c r="D5">
        <v>43</v>
      </c>
      <c r="E5">
        <v>25</v>
      </c>
      <c r="F5">
        <v>2</v>
      </c>
      <c r="G5">
        <v>98</v>
      </c>
      <c r="H5" s="1">
        <f t="shared" si="0"/>
        <v>0.02</v>
      </c>
      <c r="I5" s="1">
        <f t="shared" si="1"/>
        <v>1.3163265306122449</v>
      </c>
      <c r="J5" s="1">
        <f t="shared" si="2"/>
        <v>0.43877551020408162</v>
      </c>
      <c r="K5" s="1">
        <f t="shared" si="3"/>
        <v>0.97606801415983124</v>
      </c>
      <c r="L5" s="1">
        <f t="shared" si="4"/>
        <v>0.92237550237344978</v>
      </c>
    </row>
    <row r="6" spans="1:12" x14ac:dyDescent="0.3">
      <c r="A6" t="s">
        <v>12</v>
      </c>
      <c r="B6" t="s">
        <v>18</v>
      </c>
      <c r="C6">
        <v>52</v>
      </c>
      <c r="D6">
        <v>21</v>
      </c>
      <c r="E6">
        <v>26</v>
      </c>
      <c r="F6">
        <v>1</v>
      </c>
      <c r="G6">
        <v>99</v>
      </c>
      <c r="H6" s="1">
        <f t="shared" si="0"/>
        <v>0.01</v>
      </c>
      <c r="I6" s="1">
        <f t="shared" si="1"/>
        <v>0.63636363636363635</v>
      </c>
      <c r="J6" s="1">
        <f t="shared" si="2"/>
        <v>0.5252525252525253</v>
      </c>
      <c r="K6" s="1">
        <f t="shared" si="3"/>
        <v>0.92685073040618682</v>
      </c>
      <c r="L6" s="1">
        <f t="shared" si="4"/>
        <v>0.84095892309219689</v>
      </c>
    </row>
    <row r="7" spans="1:12" x14ac:dyDescent="0.3">
      <c r="A7" t="s">
        <v>12</v>
      </c>
      <c r="B7" t="s">
        <v>19</v>
      </c>
      <c r="C7">
        <v>25</v>
      </c>
      <c r="D7">
        <v>45</v>
      </c>
      <c r="E7">
        <v>22</v>
      </c>
      <c r="F7">
        <v>8</v>
      </c>
      <c r="G7">
        <v>92</v>
      </c>
      <c r="H7" s="1">
        <f t="shared" si="0"/>
        <v>0.08</v>
      </c>
      <c r="I7" s="1">
        <f t="shared" si="1"/>
        <v>1.4673913043478262</v>
      </c>
      <c r="J7" s="1">
        <f t="shared" si="2"/>
        <v>0.4891304347826087</v>
      </c>
      <c r="K7" s="1">
        <f t="shared" si="3"/>
        <v>0.95208952759377075</v>
      </c>
      <c r="L7" s="1">
        <f t="shared" si="4"/>
        <v>0.87777545568669713</v>
      </c>
    </row>
    <row r="8" spans="1:12" x14ac:dyDescent="0.3">
      <c r="A8" t="s">
        <v>12</v>
      </c>
      <c r="B8" t="s">
        <v>20</v>
      </c>
      <c r="C8">
        <v>53</v>
      </c>
      <c r="D8">
        <v>23</v>
      </c>
      <c r="E8">
        <v>24</v>
      </c>
      <c r="F8">
        <v>0</v>
      </c>
      <c r="G8">
        <v>100</v>
      </c>
      <c r="H8" s="1">
        <f t="shared" si="0"/>
        <v>0</v>
      </c>
      <c r="I8" s="1">
        <f t="shared" si="1"/>
        <v>0.69000000000000006</v>
      </c>
      <c r="J8" s="1">
        <f t="shared" si="2"/>
        <v>0.53</v>
      </c>
      <c r="K8" s="1">
        <f t="shared" si="3"/>
        <v>0.92573048139778846</v>
      </c>
      <c r="L8" s="1">
        <f t="shared" si="4"/>
        <v>0.837438288838673</v>
      </c>
    </row>
    <row r="9" spans="1:12" x14ac:dyDescent="0.3">
      <c r="A9" t="s">
        <v>13</v>
      </c>
      <c r="B9" t="s">
        <v>21</v>
      </c>
      <c r="C9">
        <v>39</v>
      </c>
      <c r="D9">
        <v>30</v>
      </c>
      <c r="E9">
        <v>24</v>
      </c>
      <c r="F9">
        <v>7</v>
      </c>
      <c r="G9">
        <v>93</v>
      </c>
      <c r="H9" s="1">
        <f t="shared" si="0"/>
        <v>7.0000000000000007E-2</v>
      </c>
      <c r="I9" s="1">
        <f t="shared" si="1"/>
        <v>1.2580645161290323</v>
      </c>
      <c r="J9" s="1">
        <f t="shared" si="2"/>
        <v>0.41935483870967744</v>
      </c>
      <c r="K9" s="1">
        <f t="shared" si="3"/>
        <v>0.98211519332942987</v>
      </c>
      <c r="L9" s="1">
        <f t="shared" si="4"/>
        <v>0.93765621277185141</v>
      </c>
    </row>
    <row r="10" spans="1:12" x14ac:dyDescent="0.3">
      <c r="A10" t="s">
        <v>13</v>
      </c>
      <c r="B10" t="s">
        <v>22</v>
      </c>
      <c r="C10">
        <v>22</v>
      </c>
      <c r="D10">
        <v>41</v>
      </c>
      <c r="E10">
        <v>31</v>
      </c>
      <c r="F10">
        <v>6</v>
      </c>
      <c r="G10">
        <v>94</v>
      </c>
      <c r="H10" s="1">
        <f t="shared" si="0"/>
        <v>0.06</v>
      </c>
      <c r="I10" s="1">
        <f t="shared" si="1"/>
        <v>0.7021276595744681</v>
      </c>
      <c r="J10" s="1">
        <f t="shared" si="2"/>
        <v>0.43617021276595747</v>
      </c>
      <c r="K10" s="1">
        <f t="shared" si="3"/>
        <v>0.9717938394774841</v>
      </c>
      <c r="L10" s="1">
        <f t="shared" si="4"/>
        <v>0.92137417602691596</v>
      </c>
    </row>
    <row r="11" spans="1:12" x14ac:dyDescent="0.3">
      <c r="A11" t="s">
        <v>13</v>
      </c>
      <c r="B11" t="s">
        <v>23</v>
      </c>
      <c r="C11">
        <v>42</v>
      </c>
      <c r="D11">
        <v>28</v>
      </c>
      <c r="E11">
        <v>28</v>
      </c>
      <c r="F11">
        <v>2</v>
      </c>
      <c r="G11">
        <v>98</v>
      </c>
      <c r="H11" s="1">
        <f t="shared" si="0"/>
        <v>0.02</v>
      </c>
      <c r="I11" s="1">
        <f t="shared" si="1"/>
        <v>1.2857142857142856</v>
      </c>
      <c r="J11" s="1">
        <f t="shared" si="2"/>
        <v>0.42857142857142855</v>
      </c>
      <c r="K11" s="1">
        <f t="shared" si="3"/>
        <v>0.98214103283487508</v>
      </c>
      <c r="L11" s="1">
        <f t="shared" si="4"/>
        <v>0.93214176255806791</v>
      </c>
    </row>
    <row r="12" spans="1:12" x14ac:dyDescent="0.3">
      <c r="A12" t="s">
        <v>13</v>
      </c>
      <c r="B12" t="s">
        <v>24</v>
      </c>
      <c r="C12">
        <v>41</v>
      </c>
      <c r="D12">
        <v>20</v>
      </c>
      <c r="E12">
        <v>34</v>
      </c>
      <c r="F12">
        <v>5</v>
      </c>
      <c r="G12">
        <v>95</v>
      </c>
      <c r="H12" s="1">
        <f t="shared" si="0"/>
        <v>0.05</v>
      </c>
      <c r="I12" s="1">
        <f t="shared" si="1"/>
        <v>1.2947368421052632</v>
      </c>
      <c r="J12" s="1">
        <f t="shared" si="2"/>
        <v>0.43157894736842106</v>
      </c>
      <c r="K12" s="1">
        <f t="shared" si="3"/>
        <v>0.96342543077491505</v>
      </c>
      <c r="L12" s="1">
        <f t="shared" si="4"/>
        <v>0.91910789004389637</v>
      </c>
    </row>
    <row r="13" spans="1:12" x14ac:dyDescent="0.3">
      <c r="A13" t="s">
        <v>13</v>
      </c>
      <c r="B13" t="s">
        <v>25</v>
      </c>
      <c r="C13">
        <v>40</v>
      </c>
      <c r="D13">
        <v>17</v>
      </c>
      <c r="E13">
        <v>36</v>
      </c>
      <c r="F13">
        <v>7</v>
      </c>
      <c r="G13">
        <v>93</v>
      </c>
      <c r="H13" s="1">
        <f t="shared" si="0"/>
        <v>7.0000000000000007E-2</v>
      </c>
      <c r="I13" s="1">
        <f t="shared" si="1"/>
        <v>1.2903225806451613</v>
      </c>
      <c r="J13" s="1">
        <f t="shared" si="2"/>
        <v>0.43010752688172044</v>
      </c>
      <c r="K13" s="1">
        <f t="shared" si="3"/>
        <v>0.94748333888926717</v>
      </c>
      <c r="L13" s="1">
        <f t="shared" si="4"/>
        <v>0.91042548720452798</v>
      </c>
    </row>
    <row r="14" spans="1:12" x14ac:dyDescent="0.3">
      <c r="A14" t="s">
        <v>13</v>
      </c>
      <c r="B14" t="s">
        <v>26</v>
      </c>
      <c r="C14">
        <v>46</v>
      </c>
      <c r="D14">
        <v>23</v>
      </c>
      <c r="E14">
        <v>24</v>
      </c>
      <c r="F14">
        <v>7</v>
      </c>
      <c r="G14">
        <v>93</v>
      </c>
      <c r="H14" s="1">
        <f t="shared" si="0"/>
        <v>7.0000000000000007E-2</v>
      </c>
      <c r="I14" s="1">
        <f t="shared" si="1"/>
        <v>1.4838709677419355</v>
      </c>
      <c r="J14" s="1">
        <f t="shared" si="2"/>
        <v>0.4946236559139785</v>
      </c>
      <c r="K14" s="1">
        <f t="shared" si="3"/>
        <v>0.94962997332958798</v>
      </c>
      <c r="L14" s="1">
        <f t="shared" si="4"/>
        <v>0.8730037904493656</v>
      </c>
    </row>
    <row r="15" spans="1:12" x14ac:dyDescent="0.3">
      <c r="A15" t="s">
        <v>13</v>
      </c>
      <c r="B15" t="s">
        <v>27</v>
      </c>
      <c r="C15">
        <v>25</v>
      </c>
      <c r="D15">
        <v>43</v>
      </c>
      <c r="E15">
        <v>30</v>
      </c>
      <c r="F15">
        <v>2</v>
      </c>
      <c r="G15">
        <v>98</v>
      </c>
      <c r="H15" s="1">
        <f t="shared" si="0"/>
        <v>0.02</v>
      </c>
      <c r="I15" s="1">
        <f t="shared" si="1"/>
        <v>0.76530612244897966</v>
      </c>
      <c r="J15" s="1">
        <f t="shared" si="2"/>
        <v>0.43877551020408162</v>
      </c>
      <c r="K15" s="1">
        <f t="shared" si="3"/>
        <v>0.97606801415983147</v>
      </c>
      <c r="L15" s="1">
        <f t="shared" si="4"/>
        <v>0.9223755023734499</v>
      </c>
    </row>
    <row r="16" spans="1:12" x14ac:dyDescent="0.3">
      <c r="A16" t="s">
        <v>12</v>
      </c>
      <c r="B16" t="s">
        <v>28</v>
      </c>
      <c r="I16" s="1">
        <f>IFERROR(AVERAGEIF($A$2:$A$15,"F",$I$2:$I$15),"")</f>
        <v>1.0672563080311963</v>
      </c>
      <c r="J16" s="1">
        <f>IFERROR(AVERAGEIF($A$2:$A$15,"F",$J$2:$J$15),"")</f>
        <v>0.46985186316857852</v>
      </c>
      <c r="K16" s="1">
        <f>IFERROR(AVERAGEIF($A$2:$A$15,"F",$K$2:$K$15),"")</f>
        <v>0.95170188548190437</v>
      </c>
      <c r="L16" s="1">
        <f>IFERROR(AVERAGEIF($A$2:$A$15,"F",$L$2:$L$15),"")</f>
        <v>0.88911001338799533</v>
      </c>
    </row>
    <row r="17" spans="1:12" x14ac:dyDescent="0.3">
      <c r="A17" t="s">
        <v>13</v>
      </c>
      <c r="B17" t="s">
        <v>29</v>
      </c>
      <c r="I17" s="1">
        <f>IFERROR(AVERAGEIF($A$2:$A$15,"M",$I$2:$I$15),"")</f>
        <v>1.1543061391941607</v>
      </c>
      <c r="J17" s="1">
        <f>IFERROR(AVERAGEIF($A$2:$A$15,"M",$J$2:$J$15),"")</f>
        <v>0.4398831600593236</v>
      </c>
      <c r="K17" s="1">
        <f>IFERROR(AVERAGEIF($A$2:$A$15,"M",$K$2:$K$15),"")</f>
        <v>0.96752240325648431</v>
      </c>
      <c r="L17" s="1">
        <f>IFERROR(AVERAGEIF($A$2:$A$15,"M",$L$2:$L$15),"")</f>
        <v>0.91658354591829638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2026-04-09T12:05:05Z</dcterms:created>
  <dcterms:modified xsi:type="dcterms:W3CDTF">2026-04-14T04:33:48Z</dcterms:modified>
</cp:coreProperties>
</file>