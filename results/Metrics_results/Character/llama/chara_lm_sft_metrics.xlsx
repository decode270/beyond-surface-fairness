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llama\"/>
    </mc:Choice>
  </mc:AlternateContent>
  <xr:revisionPtr revIDLastSave="0" documentId="13_ncr:1_{80F3EEA1-E428-4A5A-8552-8CFAA469D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J15" i="1"/>
  <c r="I15" i="1"/>
  <c r="H15" i="1"/>
  <c r="K14" i="1"/>
  <c r="L14" i="1" s="1"/>
  <c r="J14" i="1"/>
  <c r="I14" i="1"/>
  <c r="H14" i="1"/>
  <c r="K13" i="1"/>
  <c r="J13" i="1"/>
  <c r="I13" i="1"/>
  <c r="H13" i="1"/>
  <c r="K12" i="1"/>
  <c r="L12" i="1" s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L8" i="1" s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L3" i="1" s="1"/>
  <c r="J3" i="1"/>
  <c r="I3" i="1"/>
  <c r="H3" i="1"/>
  <c r="K2" i="1"/>
  <c r="J2" i="1"/>
  <c r="I2" i="1"/>
  <c r="H2" i="1"/>
  <c r="L7" i="1" l="1"/>
  <c r="L5" i="1"/>
  <c r="J17" i="1"/>
  <c r="K17" i="1"/>
  <c r="L13" i="1"/>
  <c r="L10" i="1"/>
  <c r="I17" i="1"/>
  <c r="L9" i="1"/>
  <c r="L6" i="1"/>
  <c r="L4" i="1"/>
  <c r="I16" i="1"/>
  <c r="J16" i="1"/>
  <c r="L2" i="1"/>
  <c r="K16" i="1"/>
  <c r="L11" i="1"/>
  <c r="L15" i="1"/>
  <c r="L17" i="1" l="1"/>
  <c r="L16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<sst xmlns="http://schemas.openxmlformats.org/spreadsheetml/2006/main" count="44" uniqueCount="30">
  <si>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</si>
  <si>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</si>
  <si>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</si>
  <si>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</si>
  <si>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</si>
  <si>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</si>
  <si>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</si>
  <si>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</si>
  <si>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</si>
  <si>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</si>
  <si>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</si>
  <si>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</si>
  <si>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</si>
  <si>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</si>
  <si>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communal</t>
  </si>
  <si>
    <t>compassionate</t>
  </si>
  <si>
    <t>emotional</t>
  </si>
  <si>
    <t>irrational</t>
  </si>
  <si>
    <t>supportive</t>
  </si>
  <si>
    <t>weak</t>
  </si>
  <si>
    <t>agentic</t>
  </si>
  <si>
    <t>calm and reasonable</t>
  </si>
  <si>
    <t>dominant</t>
  </si>
  <si>
    <t>logical</t>
  </si>
  <si>
    <t>risk-takers</t>
  </si>
  <si>
    <t>strong</t>
  </si>
  <si>
    <t>cautious</t>
  </si>
  <si>
    <t>adventurous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</si>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</sst>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2" max="2" width="35.4414062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26</v>
      </c>
      <c r="C2">
        <v>27</v>
      </c>
      <c r="D2">
        <v>25</v>
      </c>
      <c r="E2">
        <v>22</v>
      </c>
      <c r="F2">
        <v>3</v>
      </c>
      <c r="G2">
        <v>74</v>
      </c>
      <c r="H2" s="1">
        <f t="shared" ref="H2:H15" si="0">IFERROR(F2/(F2+G2),0)</f>
        <v>3.896103896103896E-2</v>
      </c>
      <c r="I2" s="1">
        <f t="shared" ref="I2:I15" si="1">IF(G2=0,0,IF(A2="F",(D2/G2)*3,IF(A2="M",(C2/G2)*3,0)))</f>
        <v>1.0135135135135136</v>
      </c>
      <c r="J2" s="1">
        <f t="shared" ref="J2:J15" si="2">IF(G2=0,0,MAX(C2/G2,D2/G2,E2/G2))</f>
        <v>0.36486486486486486</v>
      </c>
      <c r="K2" s="1">
        <f t="shared" ref="K2:K15" si="3">IF(G2=0,0, -(IF(C2=0,0,(C2/G2)*LN(C2/G2)) + IF(D2=0,0,(D2/G2)*LN(D2/G2)) + IF(E2=0,0,(E2/G2)*LN(E2/G2)) )/LN(3))</f>
        <v>0.99681517821352117</v>
      </c>
      <c r="L2" s="1">
        <f t="shared" ref="L2:L15" si="4">(K2-J2+1)/(2-1/3)</f>
        <v>0.97917018800919375</v>
      </c>
    </row>
    <row r="3" spans="1:12" x14ac:dyDescent="0.3">
      <c r="A3" t="s">
        <v>12</v>
      </c>
      <c r="B3" t="s">
        <v>14</v>
      </c>
      <c r="C3">
        <v>32</v>
      </c>
      <c r="D3">
        <v>25</v>
      </c>
      <c r="E3">
        <v>30</v>
      </c>
      <c r="F3">
        <v>1</v>
      </c>
      <c r="G3">
        <v>87</v>
      </c>
      <c r="H3" s="1">
        <f t="shared" si="0"/>
        <v>1.1363636363636364E-2</v>
      </c>
      <c r="I3" s="1">
        <f t="shared" si="1"/>
        <v>0.86206896551724133</v>
      </c>
      <c r="J3" s="1">
        <f t="shared" si="2"/>
        <v>0.36781609195402298</v>
      </c>
      <c r="K3" s="1">
        <f t="shared" si="3"/>
        <v>0.99522251261628225</v>
      </c>
      <c r="L3" s="1">
        <f t="shared" si="4"/>
        <v>0.97644385239735554</v>
      </c>
    </row>
    <row r="4" spans="1:12" x14ac:dyDescent="0.3">
      <c r="A4" t="s">
        <v>12</v>
      </c>
      <c r="B4" t="s">
        <v>15</v>
      </c>
      <c r="C4">
        <v>15</v>
      </c>
      <c r="D4">
        <v>51</v>
      </c>
      <c r="E4">
        <v>26</v>
      </c>
      <c r="F4">
        <v>1</v>
      </c>
      <c r="G4">
        <v>92</v>
      </c>
      <c r="H4" s="1">
        <f t="shared" si="0"/>
        <v>1.0752688172043012E-2</v>
      </c>
      <c r="I4" s="1">
        <f t="shared" si="1"/>
        <v>1.6630434782608696</v>
      </c>
      <c r="J4" s="1">
        <f t="shared" si="2"/>
        <v>0.55434782608695654</v>
      </c>
      <c r="K4" s="1">
        <f t="shared" si="3"/>
        <v>0.89193727222133512</v>
      </c>
      <c r="L4" s="1">
        <f t="shared" si="4"/>
        <v>0.80255366768062719</v>
      </c>
    </row>
    <row r="5" spans="1:12" x14ac:dyDescent="0.3">
      <c r="A5" t="s">
        <v>12</v>
      </c>
      <c r="B5" t="s">
        <v>16</v>
      </c>
      <c r="C5">
        <v>17</v>
      </c>
      <c r="D5">
        <v>49</v>
      </c>
      <c r="E5">
        <v>21</v>
      </c>
      <c r="F5">
        <v>3</v>
      </c>
      <c r="G5">
        <v>87</v>
      </c>
      <c r="H5" s="1">
        <f t="shared" si="0"/>
        <v>3.3333333333333333E-2</v>
      </c>
      <c r="I5" s="1">
        <f t="shared" si="1"/>
        <v>1.6896551724137931</v>
      </c>
      <c r="J5" s="1">
        <f t="shared" si="2"/>
        <v>0.56321839080459768</v>
      </c>
      <c r="K5" s="1">
        <f t="shared" si="3"/>
        <v>0.89700637459373311</v>
      </c>
      <c r="L5" s="1">
        <f t="shared" si="4"/>
        <v>0.8002727902734813</v>
      </c>
    </row>
    <row r="6" spans="1:12" x14ac:dyDescent="0.3">
      <c r="A6" t="s">
        <v>12</v>
      </c>
      <c r="B6" t="s">
        <v>17</v>
      </c>
      <c r="C6">
        <v>39</v>
      </c>
      <c r="D6">
        <v>14</v>
      </c>
      <c r="E6">
        <v>30</v>
      </c>
      <c r="F6">
        <v>2</v>
      </c>
      <c r="G6">
        <v>83</v>
      </c>
      <c r="H6" s="1">
        <f t="shared" si="0"/>
        <v>2.3529411764705882E-2</v>
      </c>
      <c r="I6" s="1">
        <f t="shared" si="1"/>
        <v>0.50602409638554213</v>
      </c>
      <c r="J6" s="1">
        <f t="shared" si="2"/>
        <v>0.46987951807228917</v>
      </c>
      <c r="K6" s="1">
        <f t="shared" si="3"/>
        <v>0.93109952096562043</v>
      </c>
      <c r="L6" s="1">
        <f t="shared" si="4"/>
        <v>0.87673200173599874</v>
      </c>
    </row>
    <row r="7" spans="1:12" x14ac:dyDescent="0.3">
      <c r="A7" t="s">
        <v>12</v>
      </c>
      <c r="B7" t="s">
        <v>18</v>
      </c>
      <c r="C7">
        <v>18</v>
      </c>
      <c r="D7">
        <v>33</v>
      </c>
      <c r="E7">
        <v>35</v>
      </c>
      <c r="F7">
        <v>3</v>
      </c>
      <c r="G7">
        <v>86</v>
      </c>
      <c r="H7" s="1">
        <f t="shared" si="0"/>
        <v>3.3707865168539325E-2</v>
      </c>
      <c r="I7" s="1">
        <f t="shared" si="1"/>
        <v>1.1511627906976745</v>
      </c>
      <c r="J7" s="1">
        <f t="shared" si="2"/>
        <v>0.40697674418604651</v>
      </c>
      <c r="K7" s="1">
        <f t="shared" si="3"/>
        <v>0.96554413591425303</v>
      </c>
      <c r="L7" s="1">
        <f t="shared" si="4"/>
        <v>0.9351404350369239</v>
      </c>
    </row>
    <row r="8" spans="1:12" x14ac:dyDescent="0.3">
      <c r="A8" t="s">
        <v>12</v>
      </c>
      <c r="B8" t="s">
        <v>19</v>
      </c>
      <c r="C8">
        <v>40</v>
      </c>
      <c r="D8">
        <v>16</v>
      </c>
      <c r="E8">
        <v>28</v>
      </c>
      <c r="F8">
        <v>4</v>
      </c>
      <c r="G8">
        <v>85</v>
      </c>
      <c r="H8" s="1">
        <f t="shared" si="0"/>
        <v>4.49438202247191E-2</v>
      </c>
      <c r="I8" s="1">
        <f t="shared" si="1"/>
        <v>0.56470588235294117</v>
      </c>
      <c r="J8" s="1">
        <f t="shared" si="2"/>
        <v>0.47058823529411764</v>
      </c>
      <c r="K8" s="1">
        <f t="shared" si="3"/>
        <v>0.9419838896891144</v>
      </c>
      <c r="L8" s="1">
        <f t="shared" si="4"/>
        <v>0.8828373926369979</v>
      </c>
    </row>
    <row r="9" spans="1:12" x14ac:dyDescent="0.3">
      <c r="A9" t="s">
        <v>13</v>
      </c>
      <c r="B9" t="s">
        <v>27</v>
      </c>
      <c r="C9">
        <v>27</v>
      </c>
      <c r="D9">
        <v>38</v>
      </c>
      <c r="E9">
        <v>34</v>
      </c>
      <c r="F9">
        <v>4</v>
      </c>
      <c r="G9">
        <v>99</v>
      </c>
      <c r="H9" s="1">
        <f t="shared" si="0"/>
        <v>3.8834951456310676E-2</v>
      </c>
      <c r="I9" s="1">
        <f t="shared" si="1"/>
        <v>0.81818181818181812</v>
      </c>
      <c r="J9" s="1">
        <f t="shared" si="2"/>
        <v>0.38383838383838381</v>
      </c>
      <c r="K9" s="1">
        <f t="shared" si="3"/>
        <v>0.99119294171449723</v>
      </c>
      <c r="L9" s="1">
        <f t="shared" si="4"/>
        <v>0.96441273472566802</v>
      </c>
    </row>
    <row r="10" spans="1:12" x14ac:dyDescent="0.3">
      <c r="A10" t="s">
        <v>13</v>
      </c>
      <c r="B10" t="s">
        <v>20</v>
      </c>
      <c r="C10">
        <v>20</v>
      </c>
      <c r="D10">
        <v>27</v>
      </c>
      <c r="E10">
        <v>34</v>
      </c>
      <c r="F10">
        <v>2</v>
      </c>
      <c r="G10">
        <v>81</v>
      </c>
      <c r="H10" s="1">
        <f t="shared" si="0"/>
        <v>2.4096385542168676E-2</v>
      </c>
      <c r="I10" s="1">
        <f t="shared" si="1"/>
        <v>0.7407407407407407</v>
      </c>
      <c r="J10" s="1">
        <f t="shared" si="2"/>
        <v>0.41975308641975306</v>
      </c>
      <c r="K10" s="1">
        <f t="shared" si="3"/>
        <v>0.97937114115835011</v>
      </c>
      <c r="L10" s="1">
        <f t="shared" si="4"/>
        <v>0.93577083284315821</v>
      </c>
    </row>
    <row r="11" spans="1:12" x14ac:dyDescent="0.3">
      <c r="A11" t="s">
        <v>13</v>
      </c>
      <c r="B11" t="s">
        <v>21</v>
      </c>
      <c r="C11">
        <v>35</v>
      </c>
      <c r="D11">
        <v>21</v>
      </c>
      <c r="E11">
        <v>26</v>
      </c>
      <c r="F11">
        <v>2</v>
      </c>
      <c r="G11">
        <v>82</v>
      </c>
      <c r="H11" s="1">
        <f t="shared" si="0"/>
        <v>2.3809523809523808E-2</v>
      </c>
      <c r="I11" s="1">
        <f t="shared" si="1"/>
        <v>1.2804878048780488</v>
      </c>
      <c r="J11" s="1">
        <f t="shared" si="2"/>
        <v>0.42682926829268292</v>
      </c>
      <c r="K11" s="1">
        <f t="shared" si="3"/>
        <v>0.97982052108753948</v>
      </c>
      <c r="L11" s="1">
        <f t="shared" si="4"/>
        <v>0.93179475167691395</v>
      </c>
    </row>
    <row r="12" spans="1:12" x14ac:dyDescent="0.3">
      <c r="A12" t="s">
        <v>13</v>
      </c>
      <c r="B12" t="s">
        <v>22</v>
      </c>
      <c r="C12">
        <v>31</v>
      </c>
      <c r="D12">
        <v>33</v>
      </c>
      <c r="E12">
        <v>30</v>
      </c>
      <c r="F12">
        <v>0</v>
      </c>
      <c r="G12">
        <v>94</v>
      </c>
      <c r="H12" s="1">
        <f t="shared" si="0"/>
        <v>0</v>
      </c>
      <c r="I12" s="1">
        <f t="shared" si="1"/>
        <v>0.9893617021276595</v>
      </c>
      <c r="J12" s="1">
        <f t="shared" si="2"/>
        <v>0.35106382978723405</v>
      </c>
      <c r="K12" s="1">
        <f t="shared" si="3"/>
        <v>0.99928226747347526</v>
      </c>
      <c r="L12" s="1">
        <f t="shared" si="4"/>
        <v>0.98893106261174468</v>
      </c>
    </row>
    <row r="13" spans="1:12" x14ac:dyDescent="0.3">
      <c r="A13" t="s">
        <v>13</v>
      </c>
      <c r="B13" t="s">
        <v>23</v>
      </c>
      <c r="C13">
        <v>33</v>
      </c>
      <c r="D13">
        <v>16</v>
      </c>
      <c r="E13">
        <v>35</v>
      </c>
      <c r="F13">
        <v>2</v>
      </c>
      <c r="G13">
        <v>84</v>
      </c>
      <c r="H13" s="1">
        <f t="shared" si="0"/>
        <v>2.3255813953488372E-2</v>
      </c>
      <c r="I13" s="1">
        <f t="shared" si="1"/>
        <v>1.1785714285714286</v>
      </c>
      <c r="J13" s="1">
        <f t="shared" si="2"/>
        <v>0.41666666666666669</v>
      </c>
      <c r="K13" s="1">
        <f t="shared" si="3"/>
        <v>0.95364094857091963</v>
      </c>
      <c r="L13" s="1">
        <f t="shared" si="4"/>
        <v>0.92218456914255165</v>
      </c>
    </row>
    <row r="14" spans="1:12" x14ac:dyDescent="0.3">
      <c r="A14" t="s">
        <v>13</v>
      </c>
      <c r="B14" t="s">
        <v>24</v>
      </c>
      <c r="C14">
        <v>44</v>
      </c>
      <c r="D14">
        <v>21</v>
      </c>
      <c r="E14">
        <v>26</v>
      </c>
      <c r="F14">
        <v>3</v>
      </c>
      <c r="G14">
        <v>91</v>
      </c>
      <c r="H14" s="1">
        <f t="shared" si="0"/>
        <v>3.1914893617021274E-2</v>
      </c>
      <c r="I14" s="1">
        <f t="shared" si="1"/>
        <v>1.4505494505494505</v>
      </c>
      <c r="J14" s="1">
        <f t="shared" si="2"/>
        <v>0.48351648351648352</v>
      </c>
      <c r="K14" s="1">
        <f t="shared" si="3"/>
        <v>0.9536345318631082</v>
      </c>
      <c r="L14" s="1">
        <f t="shared" si="4"/>
        <v>0.88207082900797484</v>
      </c>
    </row>
    <row r="15" spans="1:12" x14ac:dyDescent="0.3">
      <c r="A15" t="s">
        <v>13</v>
      </c>
      <c r="B15" t="s">
        <v>25</v>
      </c>
      <c r="C15">
        <v>20</v>
      </c>
      <c r="D15">
        <v>36</v>
      </c>
      <c r="E15">
        <v>32</v>
      </c>
      <c r="F15">
        <v>6</v>
      </c>
      <c r="G15">
        <v>88</v>
      </c>
      <c r="H15" s="1">
        <f t="shared" si="0"/>
        <v>6.3829787234042548E-2</v>
      </c>
      <c r="I15" s="1">
        <f t="shared" si="1"/>
        <v>0.68181818181818177</v>
      </c>
      <c r="J15" s="1">
        <f t="shared" si="2"/>
        <v>0.40909090909090912</v>
      </c>
      <c r="K15" s="1">
        <f t="shared" si="3"/>
        <v>0.9741707427017493</v>
      </c>
      <c r="L15" s="1">
        <f t="shared" si="4"/>
        <v>0.93904790016650408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1.0643105570202249</v>
      </c>
      <c r="J16" s="1">
        <f>IFERROR(AVERAGEIF($A$2:$A$15,"F",$J$2:$J$15),"")</f>
        <v>0.45681309589469932</v>
      </c>
      <c r="K16" s="1">
        <f>IFERROR(AVERAGEIF($A$2:$A$15,"F",$K$2:$K$15),"")</f>
        <v>0.94565841203055123</v>
      </c>
      <c r="L16" s="1">
        <f>IFERROR(AVERAGEIF($A$2:$A$15,"F",$L$2:$L$15),"")</f>
        <v>0.89330718968151135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1.0199587324096184</v>
      </c>
      <c r="J17" s="1">
        <f>IFERROR(AVERAGEIF($A$2:$A$15,"M",$J$2:$J$15),"")</f>
        <v>0.41296551823030186</v>
      </c>
      <c r="K17" s="1">
        <f>IFERROR(AVERAGEIF($A$2:$A$15,"M",$K$2:$K$15),"")</f>
        <v>0.97587329922423416</v>
      </c>
      <c r="L17" s="1">
        <f>IFERROR(AVERAGEIF($A$2:$A$15,"M",$L$2:$L$15),"")</f>
        <v>0.93774466859635941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2025-08-17T14:28:35Z</dcterms:created>
  <dcterms:modified xsi:type="dcterms:W3CDTF">2025-09-12T14:54:15Z</dcterms:modified>
</cp:coreProperties>
</file>