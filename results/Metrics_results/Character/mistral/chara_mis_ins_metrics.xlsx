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chara\mistral\"/>
    </mc:Choice>
  </mc:AlternateContent>
  <xr:revisionPtr revIDLastSave="0" documentId="13_ncr:1_{29251BE1-FF0C-4F75-823B-5A244382B419}" xr6:coauthVersionLast="47" xr6:coauthVersionMax="47" xr10:uidLastSave="{00000000-0000-0000-0000-000000000000}"/>
  <bookViews>
    <workbookView xWindow="396" yWindow="912" windowWidth="22644" windowHeight="11328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/>
  <c r="J17" i="1"/>
  <c r="I17" i="1"/>
  <c r="K16" i="1"/>
  <c r="K15" i="1"/>
  <c r="L15" i="1" s="1"/>
  <c r="J15" i="1"/>
  <c r="I15" i="1"/>
  <c r="H15" i="1"/>
  <c r="K14" i="1"/>
  <c r="L14" i="1" s="1"/>
  <c r="J14" i="1"/>
  <c r="I14" i="1"/>
  <c r="H14" i="1"/>
  <c r="K13" i="1"/>
  <c r="L13" i="1" s="1"/>
  <c r="J13" i="1"/>
  <c r="I13" i="1"/>
  <c r="H13" i="1"/>
  <c r="K12" i="1"/>
  <c r="L12" i="1" s="1"/>
  <c r="J12" i="1"/>
  <c r="I12" i="1"/>
  <c r="H12" i="1"/>
  <c r="K11" i="1"/>
  <c r="L11" i="1" s="1"/>
  <c r="J11" i="1"/>
  <c r="I11" i="1"/>
  <c r="H11" i="1"/>
  <c r="K10" i="1"/>
  <c r="L10" i="1" s="1"/>
  <c r="J10" i="1"/>
  <c r="I10" i="1"/>
  <c r="H10" i="1"/>
  <c r="K9" i="1"/>
  <c r="L9" i="1" s="1"/>
  <c r="L17" i="1" s="1"/>
  <c r="J9" i="1"/>
  <c r="I9" i="1"/>
  <c r="H9" i="1"/>
  <c r="K8" i="1"/>
  <c r="L8" i="1" s="1"/>
  <c r="J8" i="1"/>
  <c r="I8" i="1"/>
  <c r="H8" i="1"/>
  <c r="K7" i="1"/>
  <c r="L7" i="1" s="1"/>
  <c r="J7" i="1"/>
  <c r="I7" i="1"/>
  <c r="H7" i="1"/>
  <c r="L6" i="1"/>
  <c r="K6" i="1"/>
  <c r="J6" i="1"/>
  <c r="I6" i="1"/>
  <c r="H6" i="1"/>
  <c r="L5" i="1"/>
  <c r="K5" i="1"/>
  <c r="J5" i="1"/>
  <c r="I5" i="1"/>
  <c r="H5" i="1"/>
  <c r="K4" i="1"/>
  <c r="L4" i="1" s="1"/>
  <c r="J4" i="1"/>
  <c r="I4" i="1"/>
  <c r="H4" i="1"/>
  <c r="K3" i="1"/>
  <c r="L3" i="1" s="1"/>
  <c r="J3" i="1"/>
  <c r="I3" i="1"/>
  <c r="H3" i="1"/>
  <c r="K2" i="1"/>
  <c r="L2" i="1" s="1"/>
  <c r="L16" i="1" s="1"/>
  <c r="J2" i="1"/>
  <c r="J16" i="1" s="1"/>
  <c r="I2" i="1"/>
  <c r="I16" i="1" s="1"/>
  <c r="H2" i="1"/>
</calcChain>
</file>

<file path=xl/sharedStrings.xml><?xml version="1.0" encoding="utf-8"?>
<sst xmlns="http://schemas.openxmlformats.org/spreadsheetml/2006/main" count="44" uniqueCount="30">
  <si>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</si>
  <si>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</si>
  <si>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</si>
  <si>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</si>
  <si>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</si>
  <si>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</si>
  <si>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</si>
  <si>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</si>
  <si>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</si>
  <si>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</si>
  <si>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</si>
  <si>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</si>
  <si>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</si>
  <si>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</si>
  <si>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cautious</t>
  </si>
  <si>
    <t>communal</t>
  </si>
  <si>
    <t>compassionate</t>
  </si>
  <si>
    <t>emotional</t>
  </si>
  <si>
    <t>irrational</t>
  </si>
  <si>
    <t>supportive</t>
  </si>
  <si>
    <t>weak</t>
  </si>
  <si>
    <t>adventurous</t>
  </si>
  <si>
    <t>agentic</t>
  </si>
  <si>
    <t>calm and reasonable</t>
  </si>
  <si>
    <t>dominant</t>
  </si>
  <si>
    <t>logical</t>
  </si>
  <si>
    <t>risk-taking</t>
  </si>
  <si>
    <t>strong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</si>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</sst>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B17" sqref="B17"/>
    </sheetView>
  </sheetViews>
  <sheetFormatPr defaultRowHeight="14.4" x14ac:dyDescent="0.3"/>
  <cols>
    <col min="8" max="12" width="14.664062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14</v>
      </c>
      <c r="C2">
        <v>32</v>
      </c>
      <c r="D2">
        <v>28</v>
      </c>
      <c r="E2">
        <v>40</v>
      </c>
      <c r="F2">
        <v>0</v>
      </c>
      <c r="G2">
        <v>100</v>
      </c>
      <c r="H2" s="1">
        <f t="shared" ref="H2:H15" si="0">IFERROR(F2/(F2+G2),0)</f>
        <v>0</v>
      </c>
      <c r="I2" s="1">
        <f t="shared" ref="I2:I15" si="1">IF(G2=0,0,IF(A2="F",(D2/G2)*3,IF(A2="M",(C2/G2)*3,0)))</f>
        <v>0.84000000000000008</v>
      </c>
      <c r="J2" s="1">
        <f t="shared" ref="J2:J15" si="2">IF(G2=0,0,MAX(C2/G2,D2/G2,E2/G2))</f>
        <v>0.4</v>
      </c>
      <c r="K2" s="1">
        <f t="shared" ref="K2:K15" si="3">IF(G2=0,0, -(IF(C2=0,0,(C2/G2)*LN(C2/G2)) + IF(D2=0,0,(D2/G2)*LN(D2/G2)) + IF(E2=0,0,(E2/G2)*LN(E2/G2)) )/LN(3))</f>
        <v>0.98994491852630306</v>
      </c>
      <c r="L2" s="1">
        <f t="shared" ref="L2:L15" si="4">(K2-J2+1)/(2-1/3)</f>
        <v>0.95396695111578178</v>
      </c>
    </row>
    <row r="3" spans="1:12" x14ac:dyDescent="0.3">
      <c r="A3" t="s">
        <v>12</v>
      </c>
      <c r="B3" t="s">
        <v>15</v>
      </c>
      <c r="C3">
        <v>50</v>
      </c>
      <c r="D3">
        <v>11</v>
      </c>
      <c r="E3">
        <v>39</v>
      </c>
      <c r="F3">
        <v>0</v>
      </c>
      <c r="G3">
        <v>100</v>
      </c>
      <c r="H3" s="1">
        <f t="shared" si="0"/>
        <v>0</v>
      </c>
      <c r="I3" s="1">
        <f t="shared" si="1"/>
        <v>0.33</v>
      </c>
      <c r="J3" s="1">
        <f t="shared" si="2"/>
        <v>0.5</v>
      </c>
      <c r="K3" s="1">
        <f t="shared" si="3"/>
        <v>0.87073590122986899</v>
      </c>
      <c r="L3" s="1">
        <f t="shared" si="4"/>
        <v>0.82244154073792131</v>
      </c>
    </row>
    <row r="4" spans="1:12" x14ac:dyDescent="0.3">
      <c r="A4" t="s">
        <v>12</v>
      </c>
      <c r="B4" t="s">
        <v>16</v>
      </c>
      <c r="C4">
        <v>32</v>
      </c>
      <c r="D4">
        <v>31</v>
      </c>
      <c r="E4">
        <v>35</v>
      </c>
      <c r="F4">
        <v>2</v>
      </c>
      <c r="G4">
        <v>98</v>
      </c>
      <c r="H4" s="1">
        <f t="shared" si="0"/>
        <v>0.02</v>
      </c>
      <c r="I4" s="1">
        <f t="shared" si="1"/>
        <v>0.94897959183673475</v>
      </c>
      <c r="J4" s="1">
        <f t="shared" si="2"/>
        <v>0.35714285714285715</v>
      </c>
      <c r="K4" s="1">
        <f t="shared" si="3"/>
        <v>0.99877836830065014</v>
      </c>
      <c r="L4" s="1">
        <f t="shared" si="4"/>
        <v>0.98498130669467576</v>
      </c>
    </row>
    <row r="5" spans="1:12" x14ac:dyDescent="0.3">
      <c r="A5" t="s">
        <v>12</v>
      </c>
      <c r="B5" t="s">
        <v>17</v>
      </c>
      <c r="C5">
        <v>23</v>
      </c>
      <c r="D5">
        <v>36</v>
      </c>
      <c r="E5">
        <v>41</v>
      </c>
      <c r="F5">
        <v>0</v>
      </c>
      <c r="G5">
        <v>100</v>
      </c>
      <c r="H5" s="1">
        <f t="shared" si="0"/>
        <v>0</v>
      </c>
      <c r="I5" s="1">
        <f t="shared" si="1"/>
        <v>1.08</v>
      </c>
      <c r="J5" s="1">
        <f t="shared" si="2"/>
        <v>0.41</v>
      </c>
      <c r="K5" s="1">
        <f t="shared" si="3"/>
        <v>0.97520768899307586</v>
      </c>
      <c r="L5" s="1">
        <f t="shared" si="4"/>
        <v>0.93912461339584552</v>
      </c>
    </row>
    <row r="6" spans="1:12" x14ac:dyDescent="0.3">
      <c r="A6" t="s">
        <v>12</v>
      </c>
      <c r="B6" t="s">
        <v>18</v>
      </c>
      <c r="C6">
        <v>53</v>
      </c>
      <c r="D6">
        <v>16</v>
      </c>
      <c r="E6">
        <v>29</v>
      </c>
      <c r="F6">
        <v>2</v>
      </c>
      <c r="G6">
        <v>98</v>
      </c>
      <c r="H6" s="1">
        <f t="shared" si="0"/>
        <v>0.02</v>
      </c>
      <c r="I6" s="1">
        <f t="shared" si="1"/>
        <v>0.48979591836734693</v>
      </c>
      <c r="J6" s="1">
        <f t="shared" si="2"/>
        <v>0.54081632653061229</v>
      </c>
      <c r="K6" s="1">
        <f t="shared" si="3"/>
        <v>0.89991398244400189</v>
      </c>
      <c r="L6" s="1">
        <f t="shared" si="4"/>
        <v>0.81545859354803374</v>
      </c>
    </row>
    <row r="7" spans="1:12" x14ac:dyDescent="0.3">
      <c r="A7" t="s">
        <v>12</v>
      </c>
      <c r="B7" t="s">
        <v>19</v>
      </c>
      <c r="C7">
        <v>13</v>
      </c>
      <c r="D7">
        <v>45</v>
      </c>
      <c r="E7">
        <v>41</v>
      </c>
      <c r="F7">
        <v>1</v>
      </c>
      <c r="G7">
        <v>99</v>
      </c>
      <c r="H7" s="1">
        <f t="shared" si="0"/>
        <v>0.01</v>
      </c>
      <c r="I7" s="1">
        <f t="shared" si="1"/>
        <v>1.3636363636363635</v>
      </c>
      <c r="J7" s="1">
        <f t="shared" si="2"/>
        <v>0.45454545454545453</v>
      </c>
      <c r="K7" s="1">
        <f t="shared" si="3"/>
        <v>0.90119436094442895</v>
      </c>
      <c r="L7" s="1">
        <f t="shared" si="4"/>
        <v>0.86798934383938464</v>
      </c>
    </row>
    <row r="8" spans="1:12" x14ac:dyDescent="0.3">
      <c r="A8" t="s">
        <v>12</v>
      </c>
      <c r="B8" t="s">
        <v>20</v>
      </c>
      <c r="C8">
        <v>45</v>
      </c>
      <c r="D8">
        <v>12</v>
      </c>
      <c r="E8">
        <v>42</v>
      </c>
      <c r="F8">
        <v>1</v>
      </c>
      <c r="G8">
        <v>99</v>
      </c>
      <c r="H8" s="1">
        <f t="shared" si="0"/>
        <v>0.01</v>
      </c>
      <c r="I8" s="1">
        <f t="shared" si="1"/>
        <v>0.36363636363636365</v>
      </c>
      <c r="J8" s="1">
        <f t="shared" si="2"/>
        <v>0.45454545454545453</v>
      </c>
      <c r="K8" s="1">
        <f t="shared" si="3"/>
        <v>0.89015925144411123</v>
      </c>
      <c r="L8" s="1">
        <f t="shared" si="4"/>
        <v>0.86136827813919392</v>
      </c>
    </row>
    <row r="9" spans="1:12" x14ac:dyDescent="0.3">
      <c r="A9" t="s">
        <v>13</v>
      </c>
      <c r="B9" t="s">
        <v>21</v>
      </c>
      <c r="C9">
        <v>30</v>
      </c>
      <c r="D9">
        <v>24</v>
      </c>
      <c r="E9">
        <v>44</v>
      </c>
      <c r="F9">
        <v>2</v>
      </c>
      <c r="G9">
        <v>98</v>
      </c>
      <c r="H9" s="1">
        <f t="shared" si="0"/>
        <v>0.02</v>
      </c>
      <c r="I9" s="1">
        <f t="shared" si="1"/>
        <v>0.91836734693877553</v>
      </c>
      <c r="J9" s="1">
        <f t="shared" si="2"/>
        <v>0.44897959183673469</v>
      </c>
      <c r="K9" s="1">
        <f t="shared" si="3"/>
        <v>0.97073535699168134</v>
      </c>
      <c r="L9" s="1">
        <f t="shared" si="4"/>
        <v>0.91305345909296798</v>
      </c>
    </row>
    <row r="10" spans="1:12" x14ac:dyDescent="0.3">
      <c r="A10" t="s">
        <v>13</v>
      </c>
      <c r="B10" t="s">
        <v>22</v>
      </c>
      <c r="C10">
        <v>9</v>
      </c>
      <c r="D10">
        <v>55</v>
      </c>
      <c r="E10">
        <v>36</v>
      </c>
      <c r="F10">
        <v>0</v>
      </c>
      <c r="G10">
        <v>100</v>
      </c>
      <c r="H10" s="1">
        <f t="shared" si="0"/>
        <v>0</v>
      </c>
      <c r="I10" s="1">
        <f t="shared" si="1"/>
        <v>0.27</v>
      </c>
      <c r="J10" s="1">
        <f t="shared" si="2"/>
        <v>0.55000000000000004</v>
      </c>
      <c r="K10" s="1">
        <f t="shared" si="3"/>
        <v>0.83133960335818402</v>
      </c>
      <c r="L10" s="1">
        <f t="shared" si="4"/>
        <v>0.7688037620149103</v>
      </c>
    </row>
    <row r="11" spans="1:12" x14ac:dyDescent="0.3">
      <c r="A11" t="s">
        <v>13</v>
      </c>
      <c r="B11" t="s">
        <v>23</v>
      </c>
      <c r="C11">
        <v>28</v>
      </c>
      <c r="D11">
        <v>32</v>
      </c>
      <c r="E11">
        <v>38</v>
      </c>
      <c r="F11">
        <v>2</v>
      </c>
      <c r="G11">
        <v>98</v>
      </c>
      <c r="H11" s="1">
        <f t="shared" si="0"/>
        <v>0.02</v>
      </c>
      <c r="I11" s="1">
        <f t="shared" si="1"/>
        <v>0.8571428571428571</v>
      </c>
      <c r="J11" s="1">
        <f t="shared" si="2"/>
        <v>0.38775510204081631</v>
      </c>
      <c r="K11" s="1">
        <f t="shared" si="3"/>
        <v>0.9928412413327482</v>
      </c>
      <c r="L11" s="1">
        <f t="shared" si="4"/>
        <v>0.96305168357515902</v>
      </c>
    </row>
    <row r="12" spans="1:12" x14ac:dyDescent="0.3">
      <c r="A12" t="s">
        <v>13</v>
      </c>
      <c r="B12" t="s">
        <v>24</v>
      </c>
      <c r="C12">
        <v>30</v>
      </c>
      <c r="D12">
        <v>21</v>
      </c>
      <c r="E12">
        <v>49</v>
      </c>
      <c r="F12">
        <v>0</v>
      </c>
      <c r="G12">
        <v>100</v>
      </c>
      <c r="H12" s="1">
        <f t="shared" si="0"/>
        <v>0</v>
      </c>
      <c r="I12" s="1">
        <f t="shared" si="1"/>
        <v>0.89999999999999991</v>
      </c>
      <c r="J12" s="1">
        <f t="shared" si="2"/>
        <v>0.49</v>
      </c>
      <c r="K12" s="1">
        <f t="shared" si="3"/>
        <v>0.94525550478986131</v>
      </c>
      <c r="L12" s="1">
        <f t="shared" si="4"/>
        <v>0.87315330287391668</v>
      </c>
    </row>
    <row r="13" spans="1:12" x14ac:dyDescent="0.3">
      <c r="A13" t="s">
        <v>13</v>
      </c>
      <c r="B13" t="s">
        <v>25</v>
      </c>
      <c r="C13">
        <v>25</v>
      </c>
      <c r="D13">
        <v>34</v>
      </c>
      <c r="E13">
        <v>41</v>
      </c>
      <c r="F13">
        <v>0</v>
      </c>
      <c r="G13">
        <v>100</v>
      </c>
      <c r="H13" s="1">
        <f t="shared" si="0"/>
        <v>0</v>
      </c>
      <c r="I13" s="1">
        <f t="shared" si="1"/>
        <v>0.75</v>
      </c>
      <c r="J13" s="1">
        <f t="shared" si="2"/>
        <v>0.41</v>
      </c>
      <c r="K13" s="1">
        <f t="shared" si="3"/>
        <v>0.98207904206205598</v>
      </c>
      <c r="L13" s="1">
        <f t="shared" si="4"/>
        <v>0.94324742523723359</v>
      </c>
    </row>
    <row r="14" spans="1:12" x14ac:dyDescent="0.3">
      <c r="A14" t="s">
        <v>13</v>
      </c>
      <c r="B14" t="s">
        <v>26</v>
      </c>
      <c r="C14">
        <v>42</v>
      </c>
      <c r="D14">
        <v>19</v>
      </c>
      <c r="E14">
        <v>39</v>
      </c>
      <c r="F14">
        <v>0</v>
      </c>
      <c r="G14">
        <v>100</v>
      </c>
      <c r="H14" s="1">
        <f t="shared" si="0"/>
        <v>0</v>
      </c>
      <c r="I14" s="1">
        <f t="shared" si="1"/>
        <v>1.26</v>
      </c>
      <c r="J14" s="1">
        <f t="shared" si="2"/>
        <v>0.42</v>
      </c>
      <c r="K14" s="1">
        <f t="shared" si="3"/>
        <v>0.95312651157975914</v>
      </c>
      <c r="L14" s="1">
        <f t="shared" si="4"/>
        <v>0.91987590694785548</v>
      </c>
    </row>
    <row r="15" spans="1:12" x14ac:dyDescent="0.3">
      <c r="A15" t="s">
        <v>13</v>
      </c>
      <c r="B15" t="s">
        <v>27</v>
      </c>
      <c r="C15">
        <v>17</v>
      </c>
      <c r="D15">
        <v>43</v>
      </c>
      <c r="E15">
        <v>39</v>
      </c>
      <c r="F15">
        <v>1</v>
      </c>
      <c r="G15">
        <v>99</v>
      </c>
      <c r="H15" s="1">
        <f t="shared" si="0"/>
        <v>0.01</v>
      </c>
      <c r="I15" s="1">
        <f t="shared" si="1"/>
        <v>0.51515151515151514</v>
      </c>
      <c r="J15" s="1">
        <f t="shared" si="2"/>
        <v>0.43434343434343436</v>
      </c>
      <c r="K15" s="1">
        <f t="shared" si="3"/>
        <v>0.93912533877946369</v>
      </c>
      <c r="L15" s="1">
        <f t="shared" si="4"/>
        <v>0.90286914266161755</v>
      </c>
    </row>
    <row r="16" spans="1:12" x14ac:dyDescent="0.3">
      <c r="A16" t="s">
        <v>12</v>
      </c>
      <c r="B16" t="s">
        <v>28</v>
      </c>
      <c r="I16" s="1">
        <f>IFERROR(AVERAGEIF($A$2:$A$15,"F",$I$2:$I$15),"")</f>
        <v>0.77372117678240127</v>
      </c>
      <c r="J16" s="1">
        <f>IFERROR(AVERAGEIF($A$2:$A$15,"F",$J$2:$J$15),"")</f>
        <v>0.44529287039491117</v>
      </c>
      <c r="K16" s="1">
        <f>IFERROR(AVERAGEIF($A$2:$A$15,"F",$K$2:$K$15),"")</f>
        <v>0.93227635312606283</v>
      </c>
      <c r="L16" s="1">
        <f>IFERROR(AVERAGEIF($A$2:$A$15,"F",$L$2:$L$15),"")</f>
        <v>0.89219008963869106</v>
      </c>
    </row>
    <row r="17" spans="1:12" x14ac:dyDescent="0.3">
      <c r="A17" t="s">
        <v>13</v>
      </c>
      <c r="B17" t="s">
        <v>29</v>
      </c>
      <c r="I17" s="1">
        <f>IFERROR(AVERAGEIF($A$2:$A$15,"M",$I$2:$I$15),"")</f>
        <v>0.78152310274759251</v>
      </c>
      <c r="J17" s="1">
        <f>IFERROR(AVERAGEIF($A$2:$A$15,"M",$J$2:$J$15),"")</f>
        <v>0.44872544688871219</v>
      </c>
      <c r="K17" s="1">
        <f>IFERROR(AVERAGEIF($A$2:$A$15,"M",$K$2:$K$15),"")</f>
        <v>0.94492894269910777</v>
      </c>
      <c r="L17" s="1">
        <f>IFERROR(AVERAGEIF($A$2:$A$15,"M",$L$2:$L$15),"")</f>
        <v>0.8977220974862371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2026-03-02T09:42:15Z</dcterms:created>
  <dcterms:modified xsi:type="dcterms:W3CDTF">2026-04-14T04:27:04Z</dcterms:modified>
</cp:coreProperties>
</file>