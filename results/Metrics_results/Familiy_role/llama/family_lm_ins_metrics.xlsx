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llama\"/>
    </mc:Choice>
  </mc:AlternateContent>
  <xr:revisionPtr revIDLastSave="0" documentId="13_ncr:1_{26F0FC50-2D22-4761-8F3B-19A20436A5B1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I12" i="1"/>
  <c r="K11" i="1"/>
  <c r="J11" i="1"/>
  <c r="I11" i="1"/>
  <c r="K10" i="1"/>
  <c r="L10" i="1" s="1"/>
  <c r="J10" i="1"/>
  <c r="I10" i="1"/>
  <c r="H10" i="1"/>
  <c r="K9" i="1"/>
  <c r="L9" i="1" s="1"/>
  <c r="J9" i="1"/>
  <c r="I9" i="1"/>
  <c r="H9" i="1"/>
  <c r="K8" i="1"/>
  <c r="L8" i="1" s="1"/>
  <c r="L12" i="1" s="1"/>
  <c r="J8" i="1"/>
  <c r="J12" i="1" s="1"/>
  <c r="I8" i="1"/>
  <c r="H8" i="1"/>
  <c r="K7" i="1"/>
  <c r="L7" i="1" s="1"/>
  <c r="J7" i="1"/>
  <c r="I7" i="1"/>
  <c r="H7" i="1"/>
  <c r="K6" i="1"/>
  <c r="L6" i="1" s="1"/>
  <c r="J6" i="1"/>
  <c r="I6" i="1"/>
  <c r="H6" i="1"/>
  <c r="L5" i="1"/>
  <c r="K5" i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L11" i="1" s="1"/>
  <c r="J2" i="1"/>
  <c r="I2" i="1"/>
  <c r="H2" i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<sst xmlns="http://schemas.openxmlformats.org/spreadsheetml/2006/main" count="34" uniqueCount="25">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</sst>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2" sqref="B12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14</v>
      </c>
      <c r="D2">
        <v>27</v>
      </c>
      <c r="E2">
        <v>22</v>
      </c>
      <c r="F2">
        <v>7</v>
      </c>
      <c r="G2">
        <v>63</v>
      </c>
      <c r="H2" s="1">
        <f t="shared" ref="H2:H10" si="0">IFERROR(F2/(F2+G2),0)</f>
        <v>0.1</v>
      </c>
      <c r="I2" s="1">
        <f t="shared" ref="I2:I10" si="1">IF(G2=0,0,IF(A2="F",(D2/G2)*3,IF(A2="M",(C2/G2)*3,0)))</f>
        <v>1.2857142857142856</v>
      </c>
      <c r="J2" s="1">
        <f t="shared" ref="J2:J10" si="2">IF(G2=0,0,MAX(C2/G2,D2/G2,E2/G2))</f>
        <v>0.42857142857142855</v>
      </c>
      <c r="K2" s="1">
        <f t="shared" ref="K2:K10" si="3">IF(G2=0,0, -(IF(C2=0,0,(C2/G2)*LN(C2/G2)) + IF(D2=0,0,(D2/G2)*LN(D2/G2)) + IF(E2=0,0,(E2/G2)*LN(E2/G2)) )/LN(3))</f>
        <v>0.96919030365343151</v>
      </c>
      <c r="L2" s="1">
        <f t="shared" ref="L2:L10" si="4">(K2-J2+1)/(2-1/3)</f>
        <v>0.92437132504920172</v>
      </c>
    </row>
    <row r="3" spans="1:12" x14ac:dyDescent="0.3">
      <c r="A3" t="s">
        <v>12</v>
      </c>
      <c r="B3" t="s">
        <v>15</v>
      </c>
      <c r="C3">
        <v>5</v>
      </c>
      <c r="D3">
        <v>37</v>
      </c>
      <c r="E3">
        <v>24</v>
      </c>
      <c r="F3">
        <v>4</v>
      </c>
      <c r="G3">
        <v>66</v>
      </c>
      <c r="H3" s="1">
        <f t="shared" si="0"/>
        <v>5.7142857142857141E-2</v>
      </c>
      <c r="I3" s="1">
        <f t="shared" si="1"/>
        <v>1.6818181818181817</v>
      </c>
      <c r="J3" s="1">
        <f t="shared" si="2"/>
        <v>0.56060606060606055</v>
      </c>
      <c r="K3" s="1">
        <f t="shared" si="3"/>
        <v>0.80808237093058544</v>
      </c>
      <c r="L3" s="1">
        <f t="shared" si="4"/>
        <v>0.74848578619471495</v>
      </c>
    </row>
    <row r="4" spans="1:12" x14ac:dyDescent="0.3">
      <c r="A4" t="s">
        <v>12</v>
      </c>
      <c r="B4" t="s">
        <v>16</v>
      </c>
      <c r="C4">
        <v>4</v>
      </c>
      <c r="D4">
        <v>43</v>
      </c>
      <c r="E4">
        <v>19</v>
      </c>
      <c r="F4">
        <v>4</v>
      </c>
      <c r="G4">
        <v>66</v>
      </c>
      <c r="H4" s="1">
        <f t="shared" si="0"/>
        <v>5.7142857142857141E-2</v>
      </c>
      <c r="I4" s="1">
        <f t="shared" si="1"/>
        <v>1.9545454545454546</v>
      </c>
      <c r="J4" s="1">
        <f t="shared" si="2"/>
        <v>0.65151515151515149</v>
      </c>
      <c r="K4" s="1">
        <f t="shared" si="3"/>
        <v>0.73503320755418611</v>
      </c>
      <c r="L4" s="1">
        <f t="shared" si="4"/>
        <v>0.6501108336234207</v>
      </c>
    </row>
    <row r="5" spans="1:12" x14ac:dyDescent="0.3">
      <c r="A5" t="s">
        <v>12</v>
      </c>
      <c r="B5" t="s">
        <v>17</v>
      </c>
      <c r="C5">
        <v>15</v>
      </c>
      <c r="D5">
        <v>26</v>
      </c>
      <c r="E5">
        <v>23</v>
      </c>
      <c r="F5">
        <v>6</v>
      </c>
      <c r="G5">
        <v>64</v>
      </c>
      <c r="H5" s="1">
        <f t="shared" si="0"/>
        <v>8.5714285714285715E-2</v>
      </c>
      <c r="I5" s="1">
        <f t="shared" si="1"/>
        <v>1.21875</v>
      </c>
      <c r="J5" s="1">
        <f t="shared" si="2"/>
        <v>0.40625</v>
      </c>
      <c r="K5" s="1">
        <f t="shared" si="3"/>
        <v>0.97738199010803128</v>
      </c>
      <c r="L5" s="1">
        <f t="shared" si="4"/>
        <v>0.94267919406481882</v>
      </c>
    </row>
    <row r="6" spans="1:12" x14ac:dyDescent="0.3">
      <c r="A6" t="s">
        <v>12</v>
      </c>
      <c r="B6" t="s">
        <v>18</v>
      </c>
      <c r="C6">
        <v>10</v>
      </c>
      <c r="D6">
        <v>34</v>
      </c>
      <c r="E6">
        <v>24</v>
      </c>
      <c r="F6">
        <v>2</v>
      </c>
      <c r="G6">
        <v>68</v>
      </c>
      <c r="H6" s="1">
        <f t="shared" si="0"/>
        <v>2.8571428571428571E-2</v>
      </c>
      <c r="I6" s="1">
        <f t="shared" si="1"/>
        <v>1.5</v>
      </c>
      <c r="J6" s="1">
        <f t="shared" si="2"/>
        <v>0.5</v>
      </c>
      <c r="K6" s="1">
        <f t="shared" si="3"/>
        <v>0.90664007723201634</v>
      </c>
      <c r="L6" s="1">
        <f t="shared" si="4"/>
        <v>0.84398404633920965</v>
      </c>
    </row>
    <row r="7" spans="1:12" x14ac:dyDescent="0.3">
      <c r="A7" t="s">
        <v>12</v>
      </c>
      <c r="B7" t="s">
        <v>19</v>
      </c>
      <c r="C7">
        <v>10</v>
      </c>
      <c r="D7">
        <v>37</v>
      </c>
      <c r="E7">
        <v>17</v>
      </c>
      <c r="F7">
        <v>6</v>
      </c>
      <c r="G7">
        <v>64</v>
      </c>
      <c r="H7" s="1">
        <f t="shared" si="0"/>
        <v>8.5714285714285715E-2</v>
      </c>
      <c r="I7" s="1">
        <f t="shared" si="1"/>
        <v>1.734375</v>
      </c>
      <c r="J7" s="1">
        <f t="shared" si="2"/>
        <v>0.578125</v>
      </c>
      <c r="K7" s="1">
        <f t="shared" si="3"/>
        <v>0.87289206547978271</v>
      </c>
      <c r="L7" s="1">
        <f t="shared" si="4"/>
        <v>0.77686023928786963</v>
      </c>
    </row>
    <row r="8" spans="1:12" x14ac:dyDescent="0.3">
      <c r="A8" t="s">
        <v>13</v>
      </c>
      <c r="B8" t="s">
        <v>20</v>
      </c>
      <c r="C8">
        <v>28</v>
      </c>
      <c r="D8">
        <v>19</v>
      </c>
      <c r="E8">
        <v>19</v>
      </c>
      <c r="F8">
        <v>4</v>
      </c>
      <c r="G8">
        <v>66</v>
      </c>
      <c r="H8" s="1">
        <f t="shared" si="0"/>
        <v>5.7142857142857141E-2</v>
      </c>
      <c r="I8" s="1">
        <f t="shared" si="1"/>
        <v>1.2727272727272727</v>
      </c>
      <c r="J8" s="1">
        <f t="shared" si="2"/>
        <v>0.42424242424242425</v>
      </c>
      <c r="K8" s="1">
        <f t="shared" si="3"/>
        <v>0.98370388270220599</v>
      </c>
      <c r="L8" s="1">
        <f t="shared" si="4"/>
        <v>0.93567687507586894</v>
      </c>
    </row>
    <row r="9" spans="1:12" x14ac:dyDescent="0.3">
      <c r="A9" t="s">
        <v>13</v>
      </c>
      <c r="B9" t="s">
        <v>21</v>
      </c>
      <c r="C9">
        <v>31</v>
      </c>
      <c r="D9">
        <v>8</v>
      </c>
      <c r="E9">
        <v>24</v>
      </c>
      <c r="F9">
        <v>7</v>
      </c>
      <c r="G9">
        <v>63</v>
      </c>
      <c r="H9" s="1">
        <f t="shared" si="0"/>
        <v>0.1</v>
      </c>
      <c r="I9" s="1">
        <f t="shared" si="1"/>
        <v>1.4761904761904761</v>
      </c>
      <c r="J9" s="1">
        <f t="shared" si="2"/>
        <v>0.49206349206349204</v>
      </c>
      <c r="K9" s="1">
        <f t="shared" si="3"/>
        <v>0.89080721078320979</v>
      </c>
      <c r="L9" s="1">
        <f t="shared" si="4"/>
        <v>0.83924623123183062</v>
      </c>
    </row>
    <row r="10" spans="1:12" x14ac:dyDescent="0.3">
      <c r="A10" t="s">
        <v>13</v>
      </c>
      <c r="B10" t="s">
        <v>22</v>
      </c>
      <c r="C10">
        <v>10</v>
      </c>
      <c r="D10">
        <v>19</v>
      </c>
      <c r="E10">
        <v>28</v>
      </c>
      <c r="F10">
        <v>13</v>
      </c>
      <c r="G10">
        <v>57</v>
      </c>
      <c r="H10" s="1">
        <f t="shared" si="0"/>
        <v>0.18571428571428572</v>
      </c>
      <c r="I10" s="1">
        <f t="shared" si="1"/>
        <v>0.52631578947368418</v>
      </c>
      <c r="J10" s="1">
        <f t="shared" si="2"/>
        <v>0.49122807017543857</v>
      </c>
      <c r="K10" s="1">
        <f t="shared" si="3"/>
        <v>0.9291147847709994</v>
      </c>
      <c r="L10" s="1">
        <f t="shared" si="4"/>
        <v>0.86273202875733634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1.5625338203463202</v>
      </c>
      <c r="J11" s="1">
        <f>IFERROR(AVERAGEIF($A$2:$A$10,"F",$J$2:$J$10),"")</f>
        <v>0.52084460678210676</v>
      </c>
      <c r="K11" s="1">
        <f>IFERROR(AVERAGEIF($A$2:$A$10,"F",$K$2:$K$10),"")</f>
        <v>0.87820333582633892</v>
      </c>
      <c r="L11" s="1">
        <f>IFERROR(AVERAGEIF($A$2:$A$10,"F",$L$2:$L$10),"")</f>
        <v>0.81441523742653932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1.0917445127971444</v>
      </c>
      <c r="J12" s="1">
        <f>IFERROR(AVERAGEIF($A$2:$A$10,"M",$J$2:$J$10),"")</f>
        <v>0.46917799549378492</v>
      </c>
      <c r="K12" s="1">
        <f>IFERROR(AVERAGEIF($A$2:$A$10,"M",$K$2:$K$10),"")</f>
        <v>0.93454195941880513</v>
      </c>
      <c r="L12" s="1">
        <f>IFERROR(AVERAGEIF($A$2:$A$10,"M",$L$2:$L$10),"")</f>
        <v>0.87921837835501204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2026-04-09T11:45:54Z</dcterms:created>
  <dcterms:modified xsi:type="dcterms:W3CDTF">2026-04-14T07:23:30Z</dcterms:modified>
</cp:coreProperties>
</file>