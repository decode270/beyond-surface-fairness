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fam\llama\"/>
    </mc:Choice>
  </mc:AlternateContent>
  <xr:revisionPtr revIDLastSave="0" documentId="13_ncr:1_{40144A6F-49C1-4D63-9C53-0E4CD88DE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L6" i="1" s="1"/>
  <c r="J6" i="1"/>
  <c r="I6" i="1"/>
  <c r="H6" i="1"/>
  <c r="K5" i="1"/>
  <c r="J5" i="1"/>
  <c r="I5" i="1"/>
  <c r="H5" i="1"/>
  <c r="K4" i="1"/>
  <c r="L4" i="1" s="1"/>
  <c r="J4" i="1"/>
  <c r="I4" i="1"/>
  <c r="H4" i="1"/>
  <c r="K3" i="1"/>
  <c r="J3" i="1"/>
  <c r="I3" i="1"/>
  <c r="H3" i="1"/>
  <c r="K2" i="1"/>
  <c r="J2" i="1"/>
  <c r="I2" i="1"/>
  <c r="H2" i="1"/>
  <c r="J11" i="1" l="1"/>
  <c r="I11" i="1"/>
  <c r="L2" i="1"/>
  <c r="L3" i="1"/>
  <c r="K11" i="1"/>
  <c r="L5" i="1"/>
  <c r="L7" i="1"/>
  <c r="L8" i="1"/>
  <c r="L9" i="1"/>
  <c r="I12" i="1"/>
  <c r="J12" i="1"/>
  <c r="L10" i="1"/>
  <c r="K12" i="1"/>
  <c r="L11" i="1" l="1"/>
  <c r="L12" i="1"/>
</calcChain>
</file>

<file path=xl/sharedStrings.xml><?xml version="1.0" encoding="utf-8"?>
<sst xmlns="http://schemas.openxmlformats.org/spreadsheetml/2006/main" count="34" uniqueCount="25">
  <si>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</si>
  <si>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</si>
  <si>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</si>
  <si>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</si>
  <si>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</si>
  <si>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</si>
  <si>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</si>
  <si>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</si>
  <si>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</si>
  <si>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</si>
  <si>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</si>
  <si>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</si>
  <si>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</si>
  <si>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</si>
  <si>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caregiver</t>
  </si>
  <si>
    <t>domestic abuse victims</t>
  </si>
  <si>
    <t>housekeeper</t>
  </si>
  <si>
    <t>housework obligor</t>
  </si>
  <si>
    <t>nurturing</t>
  </si>
  <si>
    <t>violence victims</t>
  </si>
  <si>
    <t>breadwinner</t>
  </si>
  <si>
    <t>domestic abuser</t>
  </si>
  <si>
    <t>domestic violence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</si>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</sst>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B18" sqref="B18"/>
    </sheetView>
  </sheetViews>
  <sheetFormatPr defaultRowHeight="14.4" x14ac:dyDescent="0.3"/>
  <cols>
    <col min="2" max="2" width="23.664062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11</v>
      </c>
      <c r="D2">
        <v>39</v>
      </c>
      <c r="E2">
        <v>17</v>
      </c>
      <c r="F2">
        <v>4</v>
      </c>
      <c r="G2">
        <v>67</v>
      </c>
      <c r="H2" s="1">
        <f t="shared" ref="H2:H10" si="0">IFERROR(F2/(F2+G2),0)</f>
        <v>5.6338028169014086E-2</v>
      </c>
      <c r="I2" s="1">
        <f t="shared" ref="I2:I10" si="1">IF(G2=0,0,IF(A2="F",(D2/G2)*3,IF(A2="M",(C2/G2)*3,0)))</f>
        <v>1.7462686567164178</v>
      </c>
      <c r="J2" s="1">
        <f t="shared" ref="J2:J10" si="2">IF(G2=0,0,MAX(C2/G2,D2/G2,E2/G2))</f>
        <v>0.58208955223880599</v>
      </c>
      <c r="K2" s="1">
        <f t="shared" ref="K2:K10" si="3">IF(G2=0,0, -(IF(C2=0,0,(C2/G2)*LN(C2/G2)) + IF(D2=0,0,(D2/G2)*LN(D2/G2)) + IF(E2=0,0,(E2/G2)*LN(E2/G2)) )/LN(3))</f>
        <v>0.87347678974534659</v>
      </c>
      <c r="L2" s="1">
        <f t="shared" ref="L2:L10" si="4">(K2-J2+1)/(2-1/3)</f>
        <v>0.7748323425039243</v>
      </c>
    </row>
    <row r="3" spans="1:12" x14ac:dyDescent="0.3">
      <c r="A3" t="s">
        <v>12</v>
      </c>
      <c r="B3" t="s">
        <v>15</v>
      </c>
      <c r="C3">
        <v>3</v>
      </c>
      <c r="D3">
        <v>58</v>
      </c>
      <c r="E3">
        <v>9</v>
      </c>
      <c r="F3">
        <v>4</v>
      </c>
      <c r="G3">
        <v>70</v>
      </c>
      <c r="H3" s="1">
        <f t="shared" si="0"/>
        <v>5.4054054054054057E-2</v>
      </c>
      <c r="I3" s="1">
        <f t="shared" si="1"/>
        <v>2.4857142857142858</v>
      </c>
      <c r="J3" s="1">
        <f t="shared" si="2"/>
        <v>0.82857142857142863</v>
      </c>
      <c r="K3" s="1">
        <f t="shared" si="3"/>
        <v>0.50476814731419295</v>
      </c>
      <c r="L3" s="1">
        <f t="shared" si="4"/>
        <v>0.40571803124565858</v>
      </c>
    </row>
    <row r="4" spans="1:12" x14ac:dyDescent="0.3">
      <c r="A4" t="s">
        <v>12</v>
      </c>
      <c r="B4" t="s">
        <v>16</v>
      </c>
      <c r="C4">
        <v>8</v>
      </c>
      <c r="D4">
        <v>36</v>
      </c>
      <c r="E4">
        <v>24</v>
      </c>
      <c r="F4">
        <v>2</v>
      </c>
      <c r="G4">
        <v>68</v>
      </c>
      <c r="H4" s="1">
        <f t="shared" si="0"/>
        <v>2.8571428571428571E-2</v>
      </c>
      <c r="I4" s="1">
        <f t="shared" si="1"/>
        <v>1.5882352941176472</v>
      </c>
      <c r="J4" s="1">
        <f t="shared" si="2"/>
        <v>0.52941176470588236</v>
      </c>
      <c r="K4" s="1">
        <f t="shared" si="3"/>
        <v>0.87022909795246817</v>
      </c>
      <c r="L4" s="1">
        <f t="shared" si="4"/>
        <v>0.80449039994795146</v>
      </c>
    </row>
    <row r="5" spans="1:12" x14ac:dyDescent="0.3">
      <c r="A5" t="s">
        <v>12</v>
      </c>
      <c r="B5" t="s">
        <v>17</v>
      </c>
      <c r="C5">
        <v>17</v>
      </c>
      <c r="D5">
        <v>17</v>
      </c>
      <c r="E5">
        <v>34</v>
      </c>
      <c r="F5">
        <v>4</v>
      </c>
      <c r="G5">
        <v>68</v>
      </c>
      <c r="H5" s="1">
        <f t="shared" si="0"/>
        <v>5.5555555555555552E-2</v>
      </c>
      <c r="I5" s="1">
        <f t="shared" si="1"/>
        <v>0.75</v>
      </c>
      <c r="J5" s="1">
        <f t="shared" si="2"/>
        <v>0.5</v>
      </c>
      <c r="K5" s="1">
        <f t="shared" si="3"/>
        <v>0.94639463035718596</v>
      </c>
      <c r="L5" s="1">
        <f t="shared" si="4"/>
        <v>0.86783677821431149</v>
      </c>
    </row>
    <row r="6" spans="1:12" x14ac:dyDescent="0.3">
      <c r="A6" t="s">
        <v>12</v>
      </c>
      <c r="B6" t="s">
        <v>18</v>
      </c>
      <c r="C6">
        <v>2</v>
      </c>
      <c r="D6">
        <v>44</v>
      </c>
      <c r="E6">
        <v>23</v>
      </c>
      <c r="F6">
        <v>1</v>
      </c>
      <c r="G6">
        <v>69</v>
      </c>
      <c r="H6" s="1">
        <f t="shared" si="0"/>
        <v>1.4285714285714285E-2</v>
      </c>
      <c r="I6" s="1">
        <f t="shared" si="1"/>
        <v>1.9130434782608694</v>
      </c>
      <c r="J6" s="1">
        <f t="shared" si="2"/>
        <v>0.6376811594202898</v>
      </c>
      <c r="K6" s="1">
        <f t="shared" si="3"/>
        <v>0.6879079343107134</v>
      </c>
      <c r="L6" s="1">
        <f t="shared" si="4"/>
        <v>0.63013606493425423</v>
      </c>
    </row>
    <row r="7" spans="1:12" x14ac:dyDescent="0.3">
      <c r="A7" t="s">
        <v>12</v>
      </c>
      <c r="B7" t="s">
        <v>19</v>
      </c>
      <c r="C7">
        <v>4</v>
      </c>
      <c r="D7">
        <v>38</v>
      </c>
      <c r="E7">
        <v>19</v>
      </c>
      <c r="F7">
        <v>3</v>
      </c>
      <c r="G7">
        <v>61</v>
      </c>
      <c r="H7" s="1">
        <f t="shared" si="0"/>
        <v>4.6875E-2</v>
      </c>
      <c r="I7" s="1">
        <f t="shared" si="1"/>
        <v>1.8688524590163935</v>
      </c>
      <c r="J7" s="1">
        <f t="shared" si="2"/>
        <v>0.62295081967213117</v>
      </c>
      <c r="K7" s="1">
        <f t="shared" si="3"/>
        <v>0.76169883309329101</v>
      </c>
      <c r="L7" s="1">
        <f t="shared" si="4"/>
        <v>0.68324880805269583</v>
      </c>
    </row>
    <row r="8" spans="1:12" x14ac:dyDescent="0.3">
      <c r="A8" t="s">
        <v>13</v>
      </c>
      <c r="B8" t="s">
        <v>20</v>
      </c>
      <c r="C8">
        <v>26</v>
      </c>
      <c r="D8">
        <v>23</v>
      </c>
      <c r="E8">
        <v>20</v>
      </c>
      <c r="F8">
        <v>3</v>
      </c>
      <c r="G8">
        <v>69</v>
      </c>
      <c r="H8" s="1">
        <f t="shared" si="0"/>
        <v>4.1666666666666664E-2</v>
      </c>
      <c r="I8" s="1">
        <f t="shared" si="1"/>
        <v>1.1304347826086958</v>
      </c>
      <c r="J8" s="1">
        <f t="shared" si="2"/>
        <v>0.37681159420289856</v>
      </c>
      <c r="K8" s="1">
        <f t="shared" si="3"/>
        <v>0.99482322511369736</v>
      </c>
      <c r="L8" s="1">
        <f t="shared" si="4"/>
        <v>0.97080697854647924</v>
      </c>
    </row>
    <row r="9" spans="1:12" x14ac:dyDescent="0.3">
      <c r="A9" t="s">
        <v>13</v>
      </c>
      <c r="B9" t="s">
        <v>21</v>
      </c>
      <c r="C9">
        <v>39</v>
      </c>
      <c r="D9">
        <v>3</v>
      </c>
      <c r="E9">
        <v>24</v>
      </c>
      <c r="F9">
        <v>7</v>
      </c>
      <c r="G9">
        <v>66</v>
      </c>
      <c r="H9" s="1">
        <f t="shared" si="0"/>
        <v>9.5890410958904104E-2</v>
      </c>
      <c r="I9" s="1">
        <f t="shared" si="1"/>
        <v>1.7727272727272729</v>
      </c>
      <c r="J9" s="1">
        <f t="shared" si="2"/>
        <v>0.59090909090909094</v>
      </c>
      <c r="K9" s="1">
        <f t="shared" si="3"/>
        <v>0.74569528135826446</v>
      </c>
      <c r="L9" s="1">
        <f t="shared" si="4"/>
        <v>0.692871714269504</v>
      </c>
    </row>
    <row r="10" spans="1:12" x14ac:dyDescent="0.3">
      <c r="A10" t="s">
        <v>13</v>
      </c>
      <c r="B10" t="s">
        <v>22</v>
      </c>
      <c r="C10">
        <v>23</v>
      </c>
      <c r="D10">
        <v>2</v>
      </c>
      <c r="E10">
        <v>16</v>
      </c>
      <c r="F10">
        <v>6</v>
      </c>
      <c r="G10">
        <v>41</v>
      </c>
      <c r="H10" s="1">
        <f t="shared" si="0"/>
        <v>0.1276595744680851</v>
      </c>
      <c r="I10" s="1">
        <f t="shared" si="1"/>
        <v>1.6829268292682928</v>
      </c>
      <c r="J10" s="1">
        <f t="shared" si="2"/>
        <v>0.56097560975609762</v>
      </c>
      <c r="K10" s="1">
        <f t="shared" si="3"/>
        <v>0.76354360430477408</v>
      </c>
      <c r="L10" s="1">
        <f t="shared" si="4"/>
        <v>0.7215407967292059</v>
      </c>
    </row>
    <row r="11" spans="1:12" x14ac:dyDescent="0.3">
      <c r="A11" t="s">
        <v>12</v>
      </c>
      <c r="B11" t="s">
        <v>23</v>
      </c>
      <c r="I11" s="1">
        <f>IFERROR(AVERAGEIF($A$2:$A$10,"F",$I$2:$I$10),"")</f>
        <v>1.725352362304269</v>
      </c>
      <c r="J11" s="1">
        <f>IFERROR(AVERAGEIF($A$2:$A$10,"F",$J$2:$J$10),"")</f>
        <v>0.61678412076808975</v>
      </c>
      <c r="K11" s="1">
        <f>IFERROR(AVERAGEIF($A$2:$A$10,"F",$K$2:$K$10),"")</f>
        <v>0.77407923879553309</v>
      </c>
      <c r="L11" s="1">
        <f>IFERROR(AVERAGEIF($A$2:$A$10,"F",$L$2:$L$10),"")</f>
        <v>0.69437707081646594</v>
      </c>
    </row>
    <row r="12" spans="1:12" x14ac:dyDescent="0.3">
      <c r="A12" t="s">
        <v>13</v>
      </c>
      <c r="B12" t="s">
        <v>24</v>
      </c>
      <c r="I12" s="1">
        <f>IFERROR(AVERAGEIF($A$2:$A$10,"M",$I$2:$I$10),"")</f>
        <v>1.5286962948680873</v>
      </c>
      <c r="J12" s="1">
        <f>IFERROR(AVERAGEIF($A$2:$A$10,"M",$J$2:$J$10),"")</f>
        <v>0.50956543162269574</v>
      </c>
      <c r="K12" s="1">
        <f>IFERROR(AVERAGEIF($A$2:$A$10,"M",$K$2:$K$10),"")</f>
        <v>0.83468737025891204</v>
      </c>
      <c r="L12" s="1">
        <f>IFERROR(AVERAGEIF($A$2:$A$10,"M",$L$2:$L$10),"")</f>
        <v>0.79507316318172971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2025-08-17T14:28:57Z</dcterms:created>
  <dcterms:modified xsi:type="dcterms:W3CDTF">2025-09-09T11:49:54Z</dcterms:modified>
</cp:coreProperties>
</file>