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llama\"/>
    </mc:Choice>
  </mc:AlternateContent>
  <xr:revisionPtr revIDLastSave="0" documentId="13_ncr:1_{C0AD2828-EA6D-4EB0-B506-EF7D117810FB}" xr6:coauthVersionLast="47" xr6:coauthVersionMax="47" xr10:uidLastSave="{00000000-0000-0000-0000-000000000000}"/>
  <bookViews>
    <workbookView xWindow="396" yWindow="163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10" i="1"/>
  <c r="J10" i="1"/>
  <c r="L10" i="1" s="1"/>
  <c r="I10" i="1"/>
  <c r="H10" i="1"/>
  <c r="K9" i="1"/>
  <c r="L9" i="1" s="1"/>
  <c r="J9" i="1"/>
  <c r="I9" i="1"/>
  <c r="H9" i="1"/>
  <c r="K8" i="1"/>
  <c r="K12" i="1" s="1"/>
  <c r="J8" i="1"/>
  <c r="I8" i="1"/>
  <c r="I12" i="1" s="1"/>
  <c r="H8" i="1"/>
  <c r="L7" i="1"/>
  <c r="K7" i="1"/>
  <c r="J7" i="1"/>
  <c r="I7" i="1"/>
  <c r="H7" i="1"/>
  <c r="K6" i="1"/>
  <c r="L6" i="1" s="1"/>
  <c r="J6" i="1"/>
  <c r="I6" i="1"/>
  <c r="H6" i="1"/>
  <c r="K5" i="1"/>
  <c r="L5" i="1" s="1"/>
  <c r="J5" i="1"/>
  <c r="I5" i="1"/>
  <c r="H5" i="1"/>
  <c r="L4" i="1"/>
  <c r="K4" i="1"/>
  <c r="J4" i="1"/>
  <c r="I4" i="1"/>
  <c r="H4" i="1"/>
  <c r="K3" i="1"/>
  <c r="L3" i="1" s="1"/>
  <c r="J3" i="1"/>
  <c r="I3" i="1"/>
  <c r="I11" i="1" s="1"/>
  <c r="H3" i="1"/>
  <c r="K2" i="1"/>
  <c r="L2" i="1" s="1"/>
  <c r="L11" i="1" s="1"/>
  <c r="J2" i="1"/>
  <c r="J11" i="1" s="1"/>
  <c r="I2" i="1"/>
  <c r="H2" i="1"/>
  <c r="L8" i="1" l="1"/>
  <c r="L12" i="1" s="1"/>
  <c r="K11" i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<sst xmlns="http://schemas.openxmlformats.org/spreadsheetml/2006/main" count="34" uniqueCount="25">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</sst>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1" sqref="B11:B12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0</v>
      </c>
      <c r="D2">
        <v>37</v>
      </c>
      <c r="E2">
        <v>25</v>
      </c>
      <c r="F2">
        <v>8</v>
      </c>
      <c r="G2">
        <v>62</v>
      </c>
      <c r="H2" s="1">
        <f t="shared" ref="H2:H10" si="0">IFERROR(F2/(F2+G2),0)</f>
        <v>0.11428571428571428</v>
      </c>
      <c r="I2" s="1">
        <f t="shared" ref="I2:I10" si="1">IF(G2=0,0,IF(A2="F",(D2/G2)*3,IF(A2="M",(C2/G2)*3,0)))</f>
        <v>1.7903225806451615</v>
      </c>
      <c r="J2" s="1">
        <f t="shared" ref="J2:J10" si="2">IF(G2=0,0,MAX(C2/G2,D2/G2,E2/G2))</f>
        <v>0.59677419354838712</v>
      </c>
      <c r="K2" s="1">
        <f t="shared" ref="K2:K10" si="3">IF(G2=0,0, -(IF(C2=0,0,(C2/G2)*LN(C2/G2)) + IF(D2=0,0,(D2/G2)*LN(D2/G2)) + IF(E2=0,0,(E2/G2)*LN(E2/G2)) )/LN(3))</f>
        <v>0.61377245308698114</v>
      </c>
      <c r="L2" s="1">
        <f t="shared" ref="L2:L10" si="4">(K2-J2+1)/(2-1/3)</f>
        <v>0.61019895572315641</v>
      </c>
    </row>
    <row r="3" spans="1:12" x14ac:dyDescent="0.3">
      <c r="A3" t="s">
        <v>12</v>
      </c>
      <c r="B3" t="s">
        <v>15</v>
      </c>
      <c r="C3">
        <v>4</v>
      </c>
      <c r="D3">
        <v>45</v>
      </c>
      <c r="E3">
        <v>20</v>
      </c>
      <c r="F3">
        <v>1</v>
      </c>
      <c r="G3">
        <v>69</v>
      </c>
      <c r="H3" s="1">
        <f t="shared" si="0"/>
        <v>1.4285714285714285E-2</v>
      </c>
      <c r="I3" s="1">
        <f t="shared" si="1"/>
        <v>1.9565217391304348</v>
      </c>
      <c r="J3" s="1">
        <f t="shared" si="2"/>
        <v>0.65217391304347827</v>
      </c>
      <c r="K3" s="1">
        <f t="shared" si="3"/>
        <v>0.73074682993802154</v>
      </c>
      <c r="L3" s="1">
        <f t="shared" si="4"/>
        <v>0.64714375013672598</v>
      </c>
    </row>
    <row r="4" spans="1:12" x14ac:dyDescent="0.3">
      <c r="A4" t="s">
        <v>12</v>
      </c>
      <c r="B4" t="s">
        <v>16</v>
      </c>
      <c r="C4">
        <v>2</v>
      </c>
      <c r="D4">
        <v>51</v>
      </c>
      <c r="E4">
        <v>13</v>
      </c>
      <c r="F4">
        <v>4</v>
      </c>
      <c r="G4">
        <v>66</v>
      </c>
      <c r="H4" s="1">
        <f t="shared" si="0"/>
        <v>5.7142857142857141E-2</v>
      </c>
      <c r="I4" s="1">
        <f t="shared" si="1"/>
        <v>2.3181818181818183</v>
      </c>
      <c r="J4" s="1">
        <f t="shared" si="2"/>
        <v>0.77272727272727271</v>
      </c>
      <c r="K4" s="1">
        <f t="shared" si="3"/>
        <v>0.5690852840098366</v>
      </c>
      <c r="L4" s="1">
        <f t="shared" si="4"/>
        <v>0.4778148067695383</v>
      </c>
    </row>
    <row r="5" spans="1:12" x14ac:dyDescent="0.3">
      <c r="A5" t="s">
        <v>12</v>
      </c>
      <c r="B5" t="s">
        <v>17</v>
      </c>
      <c r="C5">
        <v>7</v>
      </c>
      <c r="D5">
        <v>25</v>
      </c>
      <c r="E5">
        <v>32</v>
      </c>
      <c r="F5">
        <v>6</v>
      </c>
      <c r="G5">
        <v>64</v>
      </c>
      <c r="H5" s="1">
        <f t="shared" si="0"/>
        <v>8.5714285714285715E-2</v>
      </c>
      <c r="I5" s="1">
        <f t="shared" si="1"/>
        <v>1.171875</v>
      </c>
      <c r="J5" s="1">
        <f t="shared" si="2"/>
        <v>0.5</v>
      </c>
      <c r="K5" s="1">
        <f t="shared" si="3"/>
        <v>0.87001378937468987</v>
      </c>
      <c r="L5" s="1">
        <f t="shared" si="4"/>
        <v>0.82200827362481377</v>
      </c>
    </row>
    <row r="6" spans="1:12" x14ac:dyDescent="0.3">
      <c r="A6" t="s">
        <v>12</v>
      </c>
      <c r="B6" t="s">
        <v>18</v>
      </c>
      <c r="C6">
        <v>0</v>
      </c>
      <c r="D6">
        <v>37</v>
      </c>
      <c r="E6">
        <v>28</v>
      </c>
      <c r="F6">
        <v>5</v>
      </c>
      <c r="G6">
        <v>65</v>
      </c>
      <c r="H6" s="1">
        <f t="shared" si="0"/>
        <v>7.1428571428571425E-2</v>
      </c>
      <c r="I6" s="1">
        <f t="shared" si="1"/>
        <v>1.7076923076923076</v>
      </c>
      <c r="J6" s="1">
        <f t="shared" si="2"/>
        <v>0.56923076923076921</v>
      </c>
      <c r="K6" s="1">
        <f t="shared" si="3"/>
        <v>0.62217628756614229</v>
      </c>
      <c r="L6" s="1">
        <f t="shared" si="4"/>
        <v>0.63176731100122385</v>
      </c>
    </row>
    <row r="7" spans="1:12" x14ac:dyDescent="0.3">
      <c r="A7" t="s">
        <v>12</v>
      </c>
      <c r="B7" t="s">
        <v>19</v>
      </c>
      <c r="C7">
        <v>3</v>
      </c>
      <c r="D7">
        <v>40</v>
      </c>
      <c r="E7">
        <v>22</v>
      </c>
      <c r="F7">
        <v>5</v>
      </c>
      <c r="G7">
        <v>65</v>
      </c>
      <c r="H7" s="1">
        <f t="shared" si="0"/>
        <v>7.1428571428571425E-2</v>
      </c>
      <c r="I7" s="1">
        <f t="shared" si="1"/>
        <v>1.8461538461538463</v>
      </c>
      <c r="J7" s="1">
        <f t="shared" si="2"/>
        <v>0.61538461538461542</v>
      </c>
      <c r="K7" s="1">
        <f t="shared" si="3"/>
        <v>0.73493028194402632</v>
      </c>
      <c r="L7" s="1">
        <f t="shared" si="4"/>
        <v>0.67172739993564645</v>
      </c>
    </row>
    <row r="8" spans="1:12" x14ac:dyDescent="0.3">
      <c r="A8" t="s">
        <v>13</v>
      </c>
      <c r="B8" t="s">
        <v>20</v>
      </c>
      <c r="C8">
        <v>7</v>
      </c>
      <c r="D8">
        <v>28</v>
      </c>
      <c r="E8">
        <v>26</v>
      </c>
      <c r="F8">
        <v>9</v>
      </c>
      <c r="G8">
        <v>61</v>
      </c>
      <c r="H8" s="1">
        <f t="shared" si="0"/>
        <v>0.12857142857142856</v>
      </c>
      <c r="I8" s="1">
        <f t="shared" si="1"/>
        <v>0.34426229508196721</v>
      </c>
      <c r="J8" s="1">
        <f t="shared" si="2"/>
        <v>0.45901639344262296</v>
      </c>
      <c r="K8" s="1">
        <f t="shared" si="3"/>
        <v>0.88233067115113595</v>
      </c>
      <c r="L8" s="1">
        <f t="shared" si="4"/>
        <v>0.8539885666251078</v>
      </c>
    </row>
    <row r="9" spans="1:12" x14ac:dyDescent="0.3">
      <c r="A9" t="s">
        <v>13</v>
      </c>
      <c r="B9" t="s">
        <v>21</v>
      </c>
      <c r="C9">
        <v>19</v>
      </c>
      <c r="D9">
        <v>6</v>
      </c>
      <c r="E9">
        <v>37</v>
      </c>
      <c r="F9">
        <v>8</v>
      </c>
      <c r="G9">
        <v>62</v>
      </c>
      <c r="H9" s="1">
        <f t="shared" si="0"/>
        <v>0.11428571428571428</v>
      </c>
      <c r="I9" s="1">
        <f t="shared" si="1"/>
        <v>0.91935483870967749</v>
      </c>
      <c r="J9" s="1">
        <f t="shared" si="2"/>
        <v>0.59677419354838712</v>
      </c>
      <c r="K9" s="1">
        <f t="shared" si="3"/>
        <v>0.81603639161579544</v>
      </c>
      <c r="L9" s="1">
        <f t="shared" si="4"/>
        <v>0.73155731884044495</v>
      </c>
    </row>
    <row r="10" spans="1:12" x14ac:dyDescent="0.3">
      <c r="A10" t="s">
        <v>13</v>
      </c>
      <c r="B10" t="s">
        <v>22</v>
      </c>
      <c r="C10">
        <v>7</v>
      </c>
      <c r="D10">
        <v>42</v>
      </c>
      <c r="E10">
        <v>19</v>
      </c>
      <c r="F10">
        <v>2</v>
      </c>
      <c r="G10">
        <v>68</v>
      </c>
      <c r="H10" s="1">
        <f t="shared" si="0"/>
        <v>2.8571428571428571E-2</v>
      </c>
      <c r="I10" s="1">
        <f t="shared" si="1"/>
        <v>0.30882352941176472</v>
      </c>
      <c r="J10" s="1">
        <f t="shared" si="2"/>
        <v>0.61764705882352944</v>
      </c>
      <c r="K10" s="1">
        <f t="shared" si="3"/>
        <v>0.80822133200265667</v>
      </c>
      <c r="L10" s="1">
        <f t="shared" si="4"/>
        <v>0.71434456390747625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1.7984578819672616</v>
      </c>
      <c r="J11" s="1">
        <f>IFERROR(AVERAGEIF($A$2:$A$10,"F",$J$2:$J$10),"")</f>
        <v>0.6177151273224204</v>
      </c>
      <c r="K11" s="1">
        <f>IFERROR(AVERAGEIF($A$2:$A$10,"F",$K$2:$K$10),"")</f>
        <v>0.69012082098661631</v>
      </c>
      <c r="L11" s="1">
        <f>IFERROR(AVERAGEIF($A$2:$A$10,"F",$L$2:$L$10),"")</f>
        <v>0.64344341619851753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0.52414688773446982</v>
      </c>
      <c r="J12" s="1">
        <f>IFERROR(AVERAGEIF($A$2:$A$10,"M",$J$2:$J$10),"")</f>
        <v>0.55781254860484653</v>
      </c>
      <c r="K12" s="1">
        <f>IFERROR(AVERAGEIF($A$2:$A$10,"M",$K$2:$K$10),"")</f>
        <v>0.83552946492319602</v>
      </c>
      <c r="L12" s="1">
        <f>IFERROR(AVERAGEIF($A$2:$A$10,"M",$L$2:$L$10),"")</f>
        <v>0.76663014979100963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2026-04-08T05:53:13Z</dcterms:created>
  <dcterms:modified xsi:type="dcterms:W3CDTF">2026-04-14T07:23:40Z</dcterms:modified>
</cp:coreProperties>
</file>