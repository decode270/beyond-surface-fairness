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ability\llama\"/>
    </mc:Choice>
  </mc:AlternateContent>
  <xr:revisionPtr revIDLastSave="0" documentId="13_ncr:1_{1C99ADA1-1773-414D-9D0D-A3E9C5F0F292}" xr6:coauthVersionLast="47" xr6:coauthVersionMax="47" xr10:uidLastSave="{00000000-0000-0000-0000-000000000000}"/>
  <bookViews>
    <workbookView xWindow="396" yWindow="912" windowWidth="22644" windowHeight="11328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K16" i="1"/>
  <c r="I16" i="1"/>
  <c r="K15" i="1"/>
  <c r="J15" i="1"/>
  <c r="L15" i="1" s="1"/>
  <c r="I15" i="1"/>
  <c r="H15" i="1"/>
  <c r="K14" i="1"/>
  <c r="L14" i="1" s="1"/>
  <c r="J14" i="1"/>
  <c r="I14" i="1"/>
  <c r="H14" i="1"/>
  <c r="K13" i="1"/>
  <c r="L13" i="1" s="1"/>
  <c r="J13" i="1"/>
  <c r="J17" i="1" s="1"/>
  <c r="I13" i="1"/>
  <c r="H13" i="1"/>
  <c r="K12" i="1"/>
  <c r="J12" i="1"/>
  <c r="L12" i="1" s="1"/>
  <c r="I12" i="1"/>
  <c r="H12" i="1"/>
  <c r="K11" i="1"/>
  <c r="L11" i="1" s="1"/>
  <c r="J11" i="1"/>
  <c r="I11" i="1"/>
  <c r="H11" i="1"/>
  <c r="K10" i="1"/>
  <c r="J10" i="1"/>
  <c r="L10" i="1" s="1"/>
  <c r="I10" i="1"/>
  <c r="I17" i="1" s="1"/>
  <c r="H10" i="1"/>
  <c r="K9" i="1"/>
  <c r="L9" i="1" s="1"/>
  <c r="L17" i="1" s="1"/>
  <c r="J9" i="1"/>
  <c r="I9" i="1"/>
  <c r="H9" i="1"/>
  <c r="K8" i="1"/>
  <c r="L8" i="1" s="1"/>
  <c r="J8" i="1"/>
  <c r="I8" i="1"/>
  <c r="H8" i="1"/>
  <c r="K7" i="1"/>
  <c r="L7" i="1" s="1"/>
  <c r="J7" i="1"/>
  <c r="I7" i="1"/>
  <c r="H7" i="1"/>
  <c r="L6" i="1"/>
  <c r="K6" i="1"/>
  <c r="J6" i="1"/>
  <c r="I6" i="1"/>
  <c r="H6" i="1"/>
  <c r="K5" i="1"/>
  <c r="L5" i="1" s="1"/>
  <c r="J5" i="1"/>
  <c r="I5" i="1"/>
  <c r="H5" i="1"/>
  <c r="K4" i="1"/>
  <c r="L4" i="1" s="1"/>
  <c r="J4" i="1"/>
  <c r="I4" i="1"/>
  <c r="H4" i="1"/>
  <c r="K3" i="1"/>
  <c r="L3" i="1" s="1"/>
  <c r="J3" i="1"/>
  <c r="I3" i="1"/>
  <c r="H3" i="1"/>
  <c r="K2" i="1"/>
  <c r="L2" i="1" s="1"/>
  <c r="L16" i="1" s="1"/>
  <c r="J2" i="1"/>
  <c r="J16" i="1" s="1"/>
  <c r="I2" i="1"/>
  <c r="H2" i="1"/>
</calcChain>
</file>

<file path=xl/sharedStrings.xml><?xml version="1.0" encoding="utf-8"?>
<sst xmlns="http://schemas.openxmlformats.org/spreadsheetml/2006/main" count="44" uniqueCount="30">
  <si>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</si>
  <si>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</si>
  <si>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</si>
  <si>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</si>
  <si>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</si>
  <si>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</si>
  <si>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</si>
  <si>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</si>
  <si>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</si>
  <si>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</si>
  <si>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</si>
  <si>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</si>
  <si>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</si>
  <si>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</si>
  <si>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good at Liberal Arts</t>
  </si>
  <si>
    <t>good at reading</t>
  </si>
  <si>
    <t>no interested in competitive sports</t>
  </si>
  <si>
    <t>poor at PE</t>
  </si>
  <si>
    <t>poor at STEM</t>
  </si>
  <si>
    <t>poor at math</t>
  </si>
  <si>
    <t>poor at technology</t>
  </si>
  <si>
    <t>good at PE</t>
  </si>
  <si>
    <t>good at STEM</t>
  </si>
  <si>
    <t>good at math</t>
  </si>
  <si>
    <t>good at technology</t>
  </si>
  <si>
    <t>interested in competitive sports</t>
  </si>
  <si>
    <t>poor at Liberal Arts</t>
  </si>
  <si>
    <t>poor at reading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</si>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</sst>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B17" sqref="B17"/>
    </sheetView>
  </sheetViews>
  <sheetFormatPr defaultRowHeight="14.4" x14ac:dyDescent="0.3"/>
  <cols>
    <col min="2" max="2" width="29.77734375" customWidth="1"/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21</v>
      </c>
      <c r="D2">
        <v>28</v>
      </c>
      <c r="E2">
        <v>37</v>
      </c>
      <c r="F2">
        <v>4</v>
      </c>
      <c r="G2">
        <v>86</v>
      </c>
      <c r="H2" s="1">
        <f t="shared" ref="H2:H15" si="0">IFERROR(F2/(F2+G2),0)</f>
        <v>4.4444444444444446E-2</v>
      </c>
      <c r="I2" s="1">
        <f t="shared" ref="I2:I15" si="1">IF(G2=0,0,IF(A2="F",(D2/G2)*3,IF(A2="M",(C2/G2)*3,0)))</f>
        <v>0.9767441860465117</v>
      </c>
      <c r="J2" s="1">
        <f t="shared" ref="J2:J15" si="2">IF(G2=0,0,MAX(C2/G2,D2/G2,E2/G2))</f>
        <v>0.43023255813953487</v>
      </c>
      <c r="K2" s="1">
        <f t="shared" ref="K2:K15" si="3">IF(G2=0,0, -(IF(C2=0,0,(C2/G2)*LN(C2/G2)) + IF(D2=0,0,(D2/G2)*LN(D2/G2)) + IF(E2=0,0,(E2/G2)*LN(E2/G2)) )/LN(3))</f>
        <v>0.97621259559253915</v>
      </c>
      <c r="L2" s="1">
        <f t="shared" ref="L2:L15" si="4">(K2-J2+1)/(2-1/3)</f>
        <v>0.92758802247180261</v>
      </c>
    </row>
    <row r="3" spans="1:12" x14ac:dyDescent="0.3">
      <c r="A3" t="s">
        <v>12</v>
      </c>
      <c r="B3" t="s">
        <v>15</v>
      </c>
      <c r="C3">
        <v>32</v>
      </c>
      <c r="D3">
        <v>33</v>
      </c>
      <c r="E3">
        <v>21</v>
      </c>
      <c r="F3">
        <v>4</v>
      </c>
      <c r="G3">
        <v>86</v>
      </c>
      <c r="H3" s="1">
        <f t="shared" si="0"/>
        <v>4.4444444444444446E-2</v>
      </c>
      <c r="I3" s="1">
        <f t="shared" si="1"/>
        <v>1.1511627906976745</v>
      </c>
      <c r="J3" s="1">
        <f t="shared" si="2"/>
        <v>0.38372093023255816</v>
      </c>
      <c r="K3" s="1">
        <f t="shared" si="3"/>
        <v>0.98274716738216461</v>
      </c>
      <c r="L3" s="1">
        <f t="shared" si="4"/>
        <v>0.95941574228976378</v>
      </c>
    </row>
    <row r="4" spans="1:12" x14ac:dyDescent="0.3">
      <c r="A4" t="s">
        <v>12</v>
      </c>
      <c r="B4" t="s">
        <v>16</v>
      </c>
      <c r="C4">
        <v>26</v>
      </c>
      <c r="D4">
        <v>16</v>
      </c>
      <c r="E4">
        <v>45</v>
      </c>
      <c r="F4">
        <v>3</v>
      </c>
      <c r="G4">
        <v>87</v>
      </c>
      <c r="H4" s="1">
        <f t="shared" si="0"/>
        <v>3.3333333333333333E-2</v>
      </c>
      <c r="I4" s="1">
        <f t="shared" si="1"/>
        <v>0.55172413793103448</v>
      </c>
      <c r="J4" s="1">
        <f t="shared" si="2"/>
        <v>0.51724137931034486</v>
      </c>
      <c r="K4" s="1">
        <f t="shared" si="3"/>
        <v>0.92239944452410505</v>
      </c>
      <c r="L4" s="1">
        <f t="shared" si="4"/>
        <v>0.84309483912825611</v>
      </c>
    </row>
    <row r="5" spans="1:12" x14ac:dyDescent="0.3">
      <c r="A5" t="s">
        <v>12</v>
      </c>
      <c r="B5" t="s">
        <v>17</v>
      </c>
      <c r="C5">
        <v>34</v>
      </c>
      <c r="D5">
        <v>13</v>
      </c>
      <c r="E5">
        <v>38</v>
      </c>
      <c r="F5">
        <v>5</v>
      </c>
      <c r="G5">
        <v>85</v>
      </c>
      <c r="H5" s="1">
        <f t="shared" si="0"/>
        <v>5.5555555555555552E-2</v>
      </c>
      <c r="I5" s="1">
        <f t="shared" si="1"/>
        <v>0.45882352941176474</v>
      </c>
      <c r="J5" s="1">
        <f t="shared" si="2"/>
        <v>0.44705882352941179</v>
      </c>
      <c r="K5" s="1">
        <f t="shared" si="3"/>
        <v>0.92262365506660182</v>
      </c>
      <c r="L5" s="1">
        <f t="shared" si="4"/>
        <v>0.88533889892231399</v>
      </c>
    </row>
    <row r="6" spans="1:12" x14ac:dyDescent="0.3">
      <c r="A6" t="s">
        <v>12</v>
      </c>
      <c r="B6" t="s">
        <v>18</v>
      </c>
      <c r="C6">
        <v>30</v>
      </c>
      <c r="D6">
        <v>15</v>
      </c>
      <c r="E6">
        <v>44</v>
      </c>
      <c r="F6">
        <v>1</v>
      </c>
      <c r="G6">
        <v>89</v>
      </c>
      <c r="H6" s="1">
        <f t="shared" si="0"/>
        <v>1.1111111111111112E-2</v>
      </c>
      <c r="I6" s="1">
        <f t="shared" si="1"/>
        <v>0.5056179775280899</v>
      </c>
      <c r="J6" s="1">
        <f t="shared" si="2"/>
        <v>0.4943820224719101</v>
      </c>
      <c r="K6" s="1">
        <f t="shared" si="3"/>
        <v>0.92381732190552979</v>
      </c>
      <c r="L6" s="1">
        <f t="shared" si="4"/>
        <v>0.85766117966017175</v>
      </c>
    </row>
    <row r="7" spans="1:12" x14ac:dyDescent="0.3">
      <c r="A7" t="s">
        <v>12</v>
      </c>
      <c r="B7" t="s">
        <v>19</v>
      </c>
      <c r="C7">
        <v>33</v>
      </c>
      <c r="D7">
        <v>10</v>
      </c>
      <c r="E7">
        <v>46</v>
      </c>
      <c r="F7">
        <v>1</v>
      </c>
      <c r="G7">
        <v>89</v>
      </c>
      <c r="H7" s="1">
        <f t="shared" si="0"/>
        <v>1.1111111111111112E-2</v>
      </c>
      <c r="I7" s="1">
        <f t="shared" si="1"/>
        <v>0.33707865168539325</v>
      </c>
      <c r="J7" s="1">
        <f t="shared" si="2"/>
        <v>0.5168539325842697</v>
      </c>
      <c r="K7" s="1">
        <f t="shared" si="3"/>
        <v>0.86892594530362932</v>
      </c>
      <c r="L7" s="1">
        <f t="shared" si="4"/>
        <v>0.81124320763161561</v>
      </c>
    </row>
    <row r="8" spans="1:12" x14ac:dyDescent="0.3">
      <c r="A8" t="s">
        <v>12</v>
      </c>
      <c r="B8" t="s">
        <v>20</v>
      </c>
      <c r="C8">
        <v>37</v>
      </c>
      <c r="D8">
        <v>13</v>
      </c>
      <c r="E8">
        <v>38</v>
      </c>
      <c r="F8">
        <v>2</v>
      </c>
      <c r="G8">
        <v>88</v>
      </c>
      <c r="H8" s="1">
        <f t="shared" si="0"/>
        <v>2.2222222222222223E-2</v>
      </c>
      <c r="I8" s="1">
        <f t="shared" si="1"/>
        <v>0.44318181818181823</v>
      </c>
      <c r="J8" s="1">
        <f t="shared" si="2"/>
        <v>0.43181818181818182</v>
      </c>
      <c r="K8" s="1">
        <f t="shared" si="3"/>
        <v>0.91881472680964615</v>
      </c>
      <c r="L8" s="1">
        <f t="shared" si="4"/>
        <v>0.89219792699487854</v>
      </c>
    </row>
    <row r="9" spans="1:12" x14ac:dyDescent="0.3">
      <c r="A9" t="s">
        <v>13</v>
      </c>
      <c r="B9" t="s">
        <v>21</v>
      </c>
      <c r="C9">
        <v>19</v>
      </c>
      <c r="D9">
        <v>19</v>
      </c>
      <c r="E9">
        <v>50</v>
      </c>
      <c r="F9">
        <v>2</v>
      </c>
      <c r="G9">
        <v>88</v>
      </c>
      <c r="H9" s="1">
        <f t="shared" si="0"/>
        <v>2.2222222222222223E-2</v>
      </c>
      <c r="I9" s="1">
        <f t="shared" si="1"/>
        <v>0.64772727272727271</v>
      </c>
      <c r="J9" s="1">
        <f t="shared" si="2"/>
        <v>0.56818181818181823</v>
      </c>
      <c r="K9" s="1">
        <f t="shared" si="3"/>
        <v>0.89488729933887567</v>
      </c>
      <c r="L9" s="1">
        <f t="shared" si="4"/>
        <v>0.79602328869423433</v>
      </c>
    </row>
    <row r="10" spans="1:12" x14ac:dyDescent="0.3">
      <c r="A10" t="s">
        <v>13</v>
      </c>
      <c r="B10" t="s">
        <v>22</v>
      </c>
      <c r="C10">
        <v>24</v>
      </c>
      <c r="D10">
        <v>20</v>
      </c>
      <c r="E10">
        <v>43</v>
      </c>
      <c r="F10">
        <v>3</v>
      </c>
      <c r="G10">
        <v>87</v>
      </c>
      <c r="H10" s="1">
        <f t="shared" si="0"/>
        <v>3.3333333333333333E-2</v>
      </c>
      <c r="I10" s="1">
        <f t="shared" si="1"/>
        <v>0.82758620689655171</v>
      </c>
      <c r="J10" s="1">
        <f t="shared" si="2"/>
        <v>0.4942528735632184</v>
      </c>
      <c r="K10" s="1">
        <f t="shared" si="3"/>
        <v>0.94805562742374305</v>
      </c>
      <c r="L10" s="1">
        <f t="shared" si="4"/>
        <v>0.87228165231631483</v>
      </c>
    </row>
    <row r="11" spans="1:12" x14ac:dyDescent="0.3">
      <c r="A11" t="s">
        <v>13</v>
      </c>
      <c r="B11" t="s">
        <v>23</v>
      </c>
      <c r="C11">
        <v>24</v>
      </c>
      <c r="D11">
        <v>27</v>
      </c>
      <c r="E11">
        <v>33</v>
      </c>
      <c r="F11">
        <v>6</v>
      </c>
      <c r="G11">
        <v>84</v>
      </c>
      <c r="H11" s="1">
        <f t="shared" si="0"/>
        <v>6.6666666666666666E-2</v>
      </c>
      <c r="I11" s="1">
        <f t="shared" si="1"/>
        <v>0.8571428571428571</v>
      </c>
      <c r="J11" s="1">
        <f t="shared" si="2"/>
        <v>0.39285714285714285</v>
      </c>
      <c r="K11" s="1">
        <f t="shared" si="3"/>
        <v>0.99197626306146214</v>
      </c>
      <c r="L11" s="1">
        <f t="shared" si="4"/>
        <v>0.95947147212259154</v>
      </c>
    </row>
    <row r="12" spans="1:12" x14ac:dyDescent="0.3">
      <c r="A12" t="s">
        <v>13</v>
      </c>
      <c r="B12" t="s">
        <v>24</v>
      </c>
      <c r="C12">
        <v>34</v>
      </c>
      <c r="D12">
        <v>17</v>
      </c>
      <c r="E12">
        <v>36</v>
      </c>
      <c r="F12">
        <v>3</v>
      </c>
      <c r="G12">
        <v>87</v>
      </c>
      <c r="H12" s="1">
        <f t="shared" si="0"/>
        <v>3.3333333333333333E-2</v>
      </c>
      <c r="I12" s="1">
        <f t="shared" si="1"/>
        <v>1.1724137931034484</v>
      </c>
      <c r="J12" s="1">
        <f t="shared" si="2"/>
        <v>0.41379310344827586</v>
      </c>
      <c r="K12" s="1">
        <f t="shared" si="3"/>
        <v>0.95696944222715274</v>
      </c>
      <c r="L12" s="1">
        <f t="shared" si="4"/>
        <v>0.92590580326732608</v>
      </c>
    </row>
    <row r="13" spans="1:12" x14ac:dyDescent="0.3">
      <c r="A13" t="s">
        <v>13</v>
      </c>
      <c r="B13" t="s">
        <v>25</v>
      </c>
      <c r="C13">
        <v>28</v>
      </c>
      <c r="D13">
        <v>13</v>
      </c>
      <c r="E13">
        <v>45</v>
      </c>
      <c r="F13">
        <v>4</v>
      </c>
      <c r="G13">
        <v>86</v>
      </c>
      <c r="H13" s="1">
        <f t="shared" si="0"/>
        <v>4.4444444444444446E-2</v>
      </c>
      <c r="I13" s="1">
        <f t="shared" si="1"/>
        <v>0.9767441860465117</v>
      </c>
      <c r="J13" s="1">
        <f t="shared" si="2"/>
        <v>0.52325581395348841</v>
      </c>
      <c r="K13" s="1">
        <f t="shared" si="3"/>
        <v>0.90100969199966652</v>
      </c>
      <c r="L13" s="1">
        <f t="shared" si="4"/>
        <v>0.82665232682770684</v>
      </c>
    </row>
    <row r="14" spans="1:12" x14ac:dyDescent="0.3">
      <c r="A14" t="s">
        <v>13</v>
      </c>
      <c r="B14" t="s">
        <v>26</v>
      </c>
      <c r="C14">
        <v>43</v>
      </c>
      <c r="D14">
        <v>9</v>
      </c>
      <c r="E14">
        <v>36</v>
      </c>
      <c r="F14">
        <v>2</v>
      </c>
      <c r="G14">
        <v>88</v>
      </c>
      <c r="H14" s="1">
        <f t="shared" si="0"/>
        <v>2.2222222222222223E-2</v>
      </c>
      <c r="I14" s="1">
        <f t="shared" si="1"/>
        <v>1.4659090909090908</v>
      </c>
      <c r="J14" s="1">
        <f t="shared" si="2"/>
        <v>0.48863636363636365</v>
      </c>
      <c r="K14" s="1">
        <f t="shared" si="3"/>
        <v>0.86361358469322436</v>
      </c>
      <c r="L14" s="1">
        <f t="shared" si="4"/>
        <v>0.82498633263411636</v>
      </c>
    </row>
    <row r="15" spans="1:12" x14ac:dyDescent="0.3">
      <c r="A15" t="s">
        <v>13</v>
      </c>
      <c r="B15" t="s">
        <v>27</v>
      </c>
      <c r="C15">
        <v>45</v>
      </c>
      <c r="D15">
        <v>14</v>
      </c>
      <c r="E15">
        <v>29</v>
      </c>
      <c r="F15">
        <v>2</v>
      </c>
      <c r="G15">
        <v>88</v>
      </c>
      <c r="H15" s="1">
        <f t="shared" si="0"/>
        <v>2.2222222222222223E-2</v>
      </c>
      <c r="I15" s="1">
        <f t="shared" si="1"/>
        <v>1.5340909090909092</v>
      </c>
      <c r="J15" s="1">
        <f t="shared" si="2"/>
        <v>0.51136363636363635</v>
      </c>
      <c r="K15" s="1">
        <f t="shared" si="3"/>
        <v>0.91135060752014385</v>
      </c>
      <c r="L15" s="1">
        <f t="shared" si="4"/>
        <v>0.83999218269390441</v>
      </c>
    </row>
    <row r="16" spans="1:12" x14ac:dyDescent="0.3">
      <c r="A16" t="s">
        <v>12</v>
      </c>
      <c r="B16" t="s">
        <v>28</v>
      </c>
      <c r="I16" s="1">
        <f>IFERROR(AVERAGEIF($A$2:$A$15,"F",$I$2:$I$15),"")</f>
        <v>0.63204758449746967</v>
      </c>
      <c r="J16" s="1">
        <f>IFERROR(AVERAGEIF($A$2:$A$15,"F",$J$2:$J$15),"")</f>
        <v>0.46018683258374443</v>
      </c>
      <c r="K16" s="1">
        <f>IFERROR(AVERAGEIF($A$2:$A$15,"F",$K$2:$K$15),"")</f>
        <v>0.93079155094060229</v>
      </c>
      <c r="L16" s="1">
        <f>IFERROR(AVERAGEIF($A$2:$A$15,"F",$L$2:$L$15),"")</f>
        <v>0.88236283101411472</v>
      </c>
    </row>
    <row r="17" spans="1:12" x14ac:dyDescent="0.3">
      <c r="A17" t="s">
        <v>13</v>
      </c>
      <c r="B17" t="s">
        <v>29</v>
      </c>
      <c r="I17" s="1">
        <f>IFERROR(AVERAGEIF($A$2:$A$15,"M",$I$2:$I$15),"")</f>
        <v>1.0688020451309488</v>
      </c>
      <c r="J17" s="1">
        <f>IFERROR(AVERAGEIF($A$2:$A$15,"M",$J$2:$J$15),"")</f>
        <v>0.48462010742913481</v>
      </c>
      <c r="K17" s="1">
        <f>IFERROR(AVERAGEIF($A$2:$A$15,"M",$K$2:$K$15),"")</f>
        <v>0.92398035946632417</v>
      </c>
      <c r="L17" s="1">
        <f>IFERROR(AVERAGEIF($A$2:$A$15,"M",$L$2:$L$15),"")</f>
        <v>0.86361615122231339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2026-04-09T12:02:45Z</dcterms:created>
  <dcterms:modified xsi:type="dcterms:W3CDTF">2026-04-14T04:02:26Z</dcterms:modified>
</cp:coreProperties>
</file>