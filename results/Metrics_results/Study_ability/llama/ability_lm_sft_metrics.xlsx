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ability\llama\"/>
    </mc:Choice>
  </mc:AlternateContent>
  <xr:revisionPtr revIDLastSave="0" documentId="13_ncr:1_{14807B31-03F1-4A57-BBD6-D18DBF9E9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L10" i="1" s="1"/>
  <c r="J10" i="1"/>
  <c r="I10" i="1"/>
  <c r="H10" i="1"/>
  <c r="K9" i="1"/>
  <c r="J9" i="1"/>
  <c r="I9" i="1"/>
  <c r="H9" i="1"/>
  <c r="K8" i="1"/>
  <c r="L8" i="1" s="1"/>
  <c r="J8" i="1"/>
  <c r="I8" i="1"/>
  <c r="H8" i="1"/>
  <c r="K7" i="1"/>
  <c r="J7" i="1"/>
  <c r="I7" i="1"/>
  <c r="H7" i="1"/>
  <c r="K6" i="1"/>
  <c r="J6" i="1"/>
  <c r="I6" i="1"/>
  <c r="H6" i="1"/>
  <c r="K5" i="1"/>
  <c r="L5" i="1" s="1"/>
  <c r="J5" i="1"/>
  <c r="I5" i="1"/>
  <c r="H5" i="1"/>
  <c r="K4" i="1"/>
  <c r="J4" i="1"/>
  <c r="I4" i="1"/>
  <c r="H4" i="1"/>
  <c r="K3" i="1"/>
  <c r="L3" i="1" s="1"/>
  <c r="J3" i="1"/>
  <c r="I3" i="1"/>
  <c r="H3" i="1"/>
  <c r="K2" i="1"/>
  <c r="J2" i="1"/>
  <c r="I2" i="1"/>
  <c r="H2" i="1"/>
  <c r="L9" i="1" l="1"/>
  <c r="L2" i="1"/>
  <c r="L4" i="1"/>
  <c r="L6" i="1"/>
  <c r="I16" i="1"/>
  <c r="L7" i="1"/>
  <c r="L16" i="1" s="1"/>
  <c r="J16" i="1"/>
  <c r="K16" i="1"/>
  <c r="L11" i="1"/>
  <c r="L12" i="1"/>
  <c r="L13" i="1"/>
  <c r="L14" i="1"/>
  <c r="I17" i="1"/>
  <c r="J17" i="1"/>
  <c r="L15" i="1"/>
  <c r="K17" i="1"/>
  <c r="L17" i="1" l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<sst xmlns="http://schemas.openxmlformats.org/spreadsheetml/2006/main" count="44" uniqueCount="30">
  <si>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</si>
  <si>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</si>
  <si>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</si>
  <si>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</si>
  <si>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</si>
  <si>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</si>
  <si>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</si>
  <si>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</si>
  <si>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</si>
  <si>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</si>
  <si>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</si>
  <si>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</si>
  <si>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</si>
  <si>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</si>
  <si>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good at Liberal Arts</t>
  </si>
  <si>
    <t>good at reading</t>
  </si>
  <si>
    <t>no interested in competitive sports</t>
  </si>
  <si>
    <t>poor at PE</t>
  </si>
  <si>
    <t>poor at STEM</t>
  </si>
  <si>
    <t>poor at math</t>
  </si>
  <si>
    <t>poor at technology</t>
  </si>
  <si>
    <t>good at PE</t>
  </si>
  <si>
    <t>good at STEM</t>
  </si>
  <si>
    <t>good at math</t>
  </si>
  <si>
    <t>good at technology</t>
  </si>
  <si>
    <t>interested in competitive sports</t>
  </si>
  <si>
    <t>poor at Liberal Arts</t>
  </si>
  <si>
    <t>poor at reading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</si>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</sst>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23" sqref="B23"/>
    </sheetView>
  </sheetViews>
  <sheetFormatPr defaultRowHeight="14.4" x14ac:dyDescent="0.3"/>
  <cols>
    <col min="2" max="2" width="41.4414062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33</v>
      </c>
      <c r="D2">
        <v>39</v>
      </c>
      <c r="E2">
        <v>17</v>
      </c>
      <c r="F2">
        <v>2</v>
      </c>
      <c r="G2">
        <v>89</v>
      </c>
      <c r="H2" s="1">
        <f t="shared" ref="H2:H15" si="0">IFERROR(F2/(F2+G2),0)</f>
        <v>2.197802197802198E-2</v>
      </c>
      <c r="I2" s="1">
        <f t="shared" ref="I2:I15" si="1">IF(G2=0,0,IF(A2="F",(D2/G2)*3,IF(A2="M",(C2/G2)*3,0)))</f>
        <v>1.3146067415730338</v>
      </c>
      <c r="J2" s="1">
        <f t="shared" ref="J2:J15" si="2">IF(G2=0,0,MAX(C2/G2,D2/G2,E2/G2))</f>
        <v>0.43820224719101125</v>
      </c>
      <c r="K2" s="1">
        <f t="shared" ref="K2:K15" si="3">IF(G2=0,0, -(IF(C2=0,0,(C2/G2)*LN(C2/G2)) + IF(D2=0,0,(D2/G2)*LN(D2/G2)) + IF(E2=0,0,(E2/G2)*LN(E2/G2)) )/LN(3))</f>
        <v>0.9517661435417285</v>
      </c>
      <c r="L2" s="1">
        <f t="shared" ref="L2:L15" si="4">(K2-J2+1)/(2-1/3)</f>
        <v>0.9081383378104303</v>
      </c>
    </row>
    <row r="3" spans="1:12" x14ac:dyDescent="0.3">
      <c r="A3" t="s">
        <v>12</v>
      </c>
      <c r="B3" t="s">
        <v>15</v>
      </c>
      <c r="C3">
        <v>39</v>
      </c>
      <c r="D3">
        <v>40</v>
      </c>
      <c r="E3">
        <v>10</v>
      </c>
      <c r="F3">
        <v>1</v>
      </c>
      <c r="G3">
        <v>89</v>
      </c>
      <c r="H3" s="1">
        <f t="shared" si="0"/>
        <v>1.1111111111111112E-2</v>
      </c>
      <c r="I3" s="1">
        <f t="shared" si="1"/>
        <v>1.348314606741573</v>
      </c>
      <c r="J3" s="1">
        <f t="shared" si="2"/>
        <v>0.449438202247191</v>
      </c>
      <c r="K3" s="1">
        <f t="shared" si="3"/>
        <v>0.87985056903424941</v>
      </c>
      <c r="L3" s="1">
        <f t="shared" si="4"/>
        <v>0.85824742007223509</v>
      </c>
    </row>
    <row r="4" spans="1:12" x14ac:dyDescent="0.3">
      <c r="A4" t="s">
        <v>12</v>
      </c>
      <c r="B4" t="s">
        <v>16</v>
      </c>
      <c r="C4">
        <v>38</v>
      </c>
      <c r="D4">
        <v>32</v>
      </c>
      <c r="E4">
        <v>19</v>
      </c>
      <c r="F4">
        <v>3</v>
      </c>
      <c r="G4">
        <v>89</v>
      </c>
      <c r="H4" s="1">
        <f t="shared" si="0"/>
        <v>3.2608695652173912E-2</v>
      </c>
      <c r="I4" s="1">
        <f t="shared" si="1"/>
        <v>1.0786516853932584</v>
      </c>
      <c r="J4" s="1">
        <f t="shared" si="2"/>
        <v>0.42696629213483145</v>
      </c>
      <c r="K4" s="1">
        <f t="shared" si="3"/>
        <v>0.96559479460090958</v>
      </c>
      <c r="L4" s="1">
        <f t="shared" si="4"/>
        <v>0.92317710147964682</v>
      </c>
    </row>
    <row r="5" spans="1:12" x14ac:dyDescent="0.3">
      <c r="A5" t="s">
        <v>12</v>
      </c>
      <c r="B5" t="s">
        <v>17</v>
      </c>
      <c r="C5">
        <v>54</v>
      </c>
      <c r="D5">
        <v>11</v>
      </c>
      <c r="E5">
        <v>16</v>
      </c>
      <c r="F5">
        <v>1</v>
      </c>
      <c r="G5">
        <v>81</v>
      </c>
      <c r="H5" s="1">
        <f t="shared" si="0"/>
        <v>1.2195121951219513E-2</v>
      </c>
      <c r="I5" s="1">
        <f t="shared" si="1"/>
        <v>0.40740740740740738</v>
      </c>
      <c r="J5" s="1">
        <f t="shared" si="2"/>
        <v>0.66666666666666663</v>
      </c>
      <c r="K5" s="1">
        <f t="shared" si="3"/>
        <v>0.78445737473435184</v>
      </c>
      <c r="L5" s="1">
        <f t="shared" si="4"/>
        <v>0.67067442484061113</v>
      </c>
    </row>
    <row r="6" spans="1:12" x14ac:dyDescent="0.3">
      <c r="A6" t="s">
        <v>12</v>
      </c>
      <c r="B6" t="s">
        <v>18</v>
      </c>
      <c r="C6">
        <v>44</v>
      </c>
      <c r="D6">
        <v>24</v>
      </c>
      <c r="E6">
        <v>19</v>
      </c>
      <c r="F6">
        <v>1</v>
      </c>
      <c r="G6">
        <v>86</v>
      </c>
      <c r="H6" s="1">
        <f t="shared" si="0"/>
        <v>1.1494252873563218E-2</v>
      </c>
      <c r="I6" s="1">
        <f t="shared" si="1"/>
        <v>0.83720930232558133</v>
      </c>
      <c r="J6" s="1">
        <f t="shared" si="2"/>
        <v>0.51162790697674421</v>
      </c>
      <c r="K6" s="1">
        <f t="shared" si="3"/>
        <v>0.93994095016928492</v>
      </c>
      <c r="L6" s="1">
        <f t="shared" si="4"/>
        <v>0.85698782591552447</v>
      </c>
    </row>
    <row r="7" spans="1:12" x14ac:dyDescent="0.3">
      <c r="A7" t="s">
        <v>12</v>
      </c>
      <c r="B7" t="s">
        <v>19</v>
      </c>
      <c r="C7">
        <v>54</v>
      </c>
      <c r="D7">
        <v>14</v>
      </c>
      <c r="E7">
        <v>22</v>
      </c>
      <c r="F7">
        <v>3</v>
      </c>
      <c r="G7">
        <v>90</v>
      </c>
      <c r="H7" s="1">
        <f t="shared" si="0"/>
        <v>3.2258064516129031E-2</v>
      </c>
      <c r="I7" s="1">
        <f t="shared" si="1"/>
        <v>0.46666666666666667</v>
      </c>
      <c r="J7" s="1">
        <f t="shared" si="2"/>
        <v>0.6</v>
      </c>
      <c r="K7" s="1">
        <f t="shared" si="3"/>
        <v>0.85590801029091657</v>
      </c>
      <c r="L7" s="1">
        <f t="shared" si="4"/>
        <v>0.75354480617454989</v>
      </c>
    </row>
    <row r="8" spans="1:12" x14ac:dyDescent="0.3">
      <c r="A8" t="s">
        <v>12</v>
      </c>
      <c r="B8" t="s">
        <v>20</v>
      </c>
      <c r="C8">
        <v>54</v>
      </c>
      <c r="D8">
        <v>18</v>
      </c>
      <c r="E8">
        <v>17</v>
      </c>
      <c r="F8">
        <v>2</v>
      </c>
      <c r="G8">
        <v>89</v>
      </c>
      <c r="H8" s="1">
        <f t="shared" si="0"/>
        <v>2.197802197802198E-2</v>
      </c>
      <c r="I8" s="1">
        <f t="shared" si="1"/>
        <v>0.60674157303370779</v>
      </c>
      <c r="J8" s="1">
        <f t="shared" si="2"/>
        <v>0.6067415730337079</v>
      </c>
      <c r="K8" s="1">
        <f t="shared" si="3"/>
        <v>0.85799947137937493</v>
      </c>
      <c r="L8" s="1">
        <f t="shared" si="4"/>
        <v>0.7507547390074002</v>
      </c>
    </row>
    <row r="9" spans="1:12" x14ac:dyDescent="0.3">
      <c r="A9" t="s">
        <v>13</v>
      </c>
      <c r="B9" t="s">
        <v>21</v>
      </c>
      <c r="C9">
        <v>35</v>
      </c>
      <c r="D9">
        <v>21</v>
      </c>
      <c r="E9">
        <v>11</v>
      </c>
      <c r="F9">
        <v>0</v>
      </c>
      <c r="G9">
        <v>67</v>
      </c>
      <c r="H9" s="1">
        <f t="shared" si="0"/>
        <v>0</v>
      </c>
      <c r="I9" s="1">
        <f t="shared" si="1"/>
        <v>1.5671641791044775</v>
      </c>
      <c r="J9" s="1">
        <f t="shared" si="2"/>
        <v>0.52238805970149249</v>
      </c>
      <c r="K9" s="1">
        <f t="shared" si="3"/>
        <v>0.9097692192234873</v>
      </c>
      <c r="L9" s="1">
        <f t="shared" si="4"/>
        <v>0.83242869571319678</v>
      </c>
    </row>
    <row r="10" spans="1:12" x14ac:dyDescent="0.3">
      <c r="A10" t="s">
        <v>13</v>
      </c>
      <c r="B10" t="s">
        <v>22</v>
      </c>
      <c r="C10">
        <v>35</v>
      </c>
      <c r="D10">
        <v>36</v>
      </c>
      <c r="E10">
        <v>19</v>
      </c>
      <c r="F10">
        <v>2</v>
      </c>
      <c r="G10">
        <v>90</v>
      </c>
      <c r="H10" s="1">
        <f t="shared" si="0"/>
        <v>2.1739130434782608E-2</v>
      </c>
      <c r="I10" s="1">
        <f t="shared" si="1"/>
        <v>1.1666666666666667</v>
      </c>
      <c r="J10" s="1">
        <f t="shared" si="2"/>
        <v>0.4</v>
      </c>
      <c r="K10" s="1">
        <f t="shared" si="3"/>
        <v>0.96682238508268115</v>
      </c>
      <c r="L10" s="1">
        <f t="shared" si="4"/>
        <v>0.94009343104960852</v>
      </c>
    </row>
    <row r="11" spans="1:12" x14ac:dyDescent="0.3">
      <c r="A11" t="s">
        <v>13</v>
      </c>
      <c r="B11" t="s">
        <v>23</v>
      </c>
      <c r="C11">
        <v>53</v>
      </c>
      <c r="D11">
        <v>22</v>
      </c>
      <c r="E11">
        <v>14</v>
      </c>
      <c r="F11">
        <v>3</v>
      </c>
      <c r="G11">
        <v>89</v>
      </c>
      <c r="H11" s="1">
        <f t="shared" si="0"/>
        <v>3.2608695652173912E-2</v>
      </c>
      <c r="I11" s="1">
        <f t="shared" si="1"/>
        <v>1.7865168539325844</v>
      </c>
      <c r="J11" s="1">
        <f t="shared" si="2"/>
        <v>0.5955056179775281</v>
      </c>
      <c r="K11" s="1">
        <f t="shared" si="3"/>
        <v>0.86026227494744512</v>
      </c>
      <c r="L11" s="1">
        <f t="shared" si="4"/>
        <v>0.7588539941819501</v>
      </c>
    </row>
    <row r="12" spans="1:12" x14ac:dyDescent="0.3">
      <c r="A12" t="s">
        <v>13</v>
      </c>
      <c r="B12" t="s">
        <v>24</v>
      </c>
      <c r="C12">
        <v>62</v>
      </c>
      <c r="D12">
        <v>10</v>
      </c>
      <c r="E12">
        <v>17</v>
      </c>
      <c r="F12">
        <v>3</v>
      </c>
      <c r="G12">
        <v>89</v>
      </c>
      <c r="H12" s="1">
        <f t="shared" si="0"/>
        <v>3.2608695652173912E-2</v>
      </c>
      <c r="I12" s="1">
        <f t="shared" si="1"/>
        <v>2.0898876404494384</v>
      </c>
      <c r="J12" s="1">
        <f t="shared" si="2"/>
        <v>0.6966292134831461</v>
      </c>
      <c r="K12" s="1">
        <f t="shared" si="3"/>
        <v>0.74062614152415929</v>
      </c>
      <c r="L12" s="1">
        <f t="shared" si="4"/>
        <v>0.62639815682460798</v>
      </c>
    </row>
    <row r="13" spans="1:12" x14ac:dyDescent="0.3">
      <c r="A13" t="s">
        <v>13</v>
      </c>
      <c r="B13" t="s">
        <v>25</v>
      </c>
      <c r="C13">
        <v>45</v>
      </c>
      <c r="D13">
        <v>22</v>
      </c>
      <c r="E13">
        <v>17</v>
      </c>
      <c r="F13">
        <v>1</v>
      </c>
      <c r="G13">
        <v>84</v>
      </c>
      <c r="H13" s="1">
        <f t="shared" si="0"/>
        <v>1.1764705882352941E-2</v>
      </c>
      <c r="I13" s="1">
        <f t="shared" si="1"/>
        <v>1.6071428571428572</v>
      </c>
      <c r="J13" s="1">
        <f t="shared" si="2"/>
        <v>0.5357142857142857</v>
      </c>
      <c r="K13" s="1">
        <f t="shared" si="3"/>
        <v>0.91805469493751035</v>
      </c>
      <c r="L13" s="1">
        <f t="shared" si="4"/>
        <v>0.82940424553393477</v>
      </c>
    </row>
    <row r="14" spans="1:12" x14ac:dyDescent="0.3">
      <c r="A14" t="s">
        <v>13</v>
      </c>
      <c r="B14" t="s">
        <v>26</v>
      </c>
      <c r="C14">
        <v>64</v>
      </c>
      <c r="D14">
        <v>9</v>
      </c>
      <c r="E14">
        <v>17</v>
      </c>
      <c r="F14">
        <v>1</v>
      </c>
      <c r="G14">
        <v>90</v>
      </c>
      <c r="H14" s="1">
        <f t="shared" si="0"/>
        <v>1.098901098901099E-2</v>
      </c>
      <c r="I14" s="1">
        <f t="shared" si="1"/>
        <v>2.1333333333333333</v>
      </c>
      <c r="J14" s="1">
        <f t="shared" si="2"/>
        <v>0.71111111111111114</v>
      </c>
      <c r="K14" s="1">
        <f t="shared" si="3"/>
        <v>0.71681040689823716</v>
      </c>
      <c r="L14" s="1">
        <f t="shared" si="4"/>
        <v>0.60341957747227559</v>
      </c>
    </row>
    <row r="15" spans="1:12" x14ac:dyDescent="0.3">
      <c r="A15" t="s">
        <v>13</v>
      </c>
      <c r="B15" t="s">
        <v>27</v>
      </c>
      <c r="C15">
        <v>67</v>
      </c>
      <c r="D15">
        <v>8</v>
      </c>
      <c r="E15">
        <v>14</v>
      </c>
      <c r="F15">
        <v>4</v>
      </c>
      <c r="G15">
        <v>89</v>
      </c>
      <c r="H15" s="1">
        <f t="shared" si="0"/>
        <v>4.3010752688172046E-2</v>
      </c>
      <c r="I15" s="1">
        <f t="shared" si="1"/>
        <v>2.2584269662921348</v>
      </c>
      <c r="J15" s="1">
        <f t="shared" si="2"/>
        <v>0.7528089887640449</v>
      </c>
      <c r="K15" s="1">
        <f t="shared" si="3"/>
        <v>0.65651665380304902</v>
      </c>
      <c r="L15" s="1">
        <f t="shared" si="4"/>
        <v>0.54222459902340248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0.86565685473446119</v>
      </c>
      <c r="J16" s="1">
        <f>IFERROR(AVERAGEIF($A$2:$A$15,"F",$J$2:$J$15),"")</f>
        <v>0.52852041260716465</v>
      </c>
      <c r="K16" s="1">
        <f>IFERROR(AVERAGEIF($A$2:$A$15,"F",$K$2:$K$15),"")</f>
        <v>0.89078818767868806</v>
      </c>
      <c r="L16" s="1">
        <f>IFERROR(AVERAGEIF($A$2:$A$15,"F",$L$2:$L$15),"")</f>
        <v>0.81736066504291394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1.8013054995602131</v>
      </c>
      <c r="J17" s="1">
        <f>IFERROR(AVERAGEIF($A$2:$A$15,"M",$J$2:$J$15),"")</f>
        <v>0.60202246810737259</v>
      </c>
      <c r="K17" s="1">
        <f>IFERROR(AVERAGEIF($A$2:$A$15,"M",$K$2:$K$15),"")</f>
        <v>0.82412311091665291</v>
      </c>
      <c r="L17" s="1">
        <f>IFERROR(AVERAGEIF($A$2:$A$15,"M",$L$2:$L$15),"")</f>
        <v>0.73326038568556806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2025-08-17T14:29:27Z</dcterms:created>
  <dcterms:modified xsi:type="dcterms:W3CDTF">2025-09-09T11:53:27Z</dcterms:modified>
</cp:coreProperties>
</file>