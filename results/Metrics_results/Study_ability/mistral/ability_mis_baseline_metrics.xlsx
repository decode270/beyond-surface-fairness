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mistral\"/>
    </mc:Choice>
  </mc:AlternateContent>
  <xr:revisionPtr revIDLastSave="0" documentId="13_ncr:1_{5EB70C25-6C74-49D5-8ECD-7669B5D77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L15" i="1" s="1"/>
  <c r="J15" i="1"/>
  <c r="I15" i="1"/>
  <c r="H15" i="1"/>
  <c r="K14" i="1"/>
  <c r="L14" i="1" s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L6" i="1" l="1"/>
  <c r="L7" i="1"/>
  <c r="L13" i="1"/>
  <c r="L4" i="1"/>
  <c r="I16" i="1"/>
  <c r="L3" i="1"/>
  <c r="L9" i="1"/>
  <c r="I17" i="1"/>
  <c r="J17" i="1"/>
  <c r="L11" i="1"/>
  <c r="L2" i="1"/>
  <c r="L12" i="1"/>
  <c r="K17" i="1"/>
  <c r="L10" i="1"/>
  <c r="J16" i="1"/>
  <c r="L8" i="1"/>
  <c r="L5" i="1"/>
  <c r="K16" i="1"/>
  <c r="L17" i="1" l="1"/>
  <c r="L16" i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<sst xmlns="http://schemas.openxmlformats.org/spreadsheetml/2006/main" count="44" uniqueCount="30">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</sst>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2" max="2" width="38.886718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32</v>
      </c>
      <c r="D2">
        <v>7</v>
      </c>
      <c r="E2">
        <v>36</v>
      </c>
      <c r="F2">
        <v>1</v>
      </c>
      <c r="G2">
        <v>75</v>
      </c>
      <c r="H2" s="1">
        <f t="shared" ref="H2:H15" si="0">IFERROR(F2/(F2+G2),0)</f>
        <v>1.3157894736842105E-2</v>
      </c>
      <c r="I2" s="1">
        <f t="shared" ref="I2:I15" si="1">IF(G2=0,0,IF(A2="F",(D2/G2)*3,IF(A2="M",(C2/G2)*3,0)))</f>
        <v>0.28000000000000003</v>
      </c>
      <c r="J2" s="1">
        <f t="shared" ref="J2:J15" si="2">IF(G2=0,0,MAX(C2/G2,D2/G2,E2/G2))</f>
        <v>0.48</v>
      </c>
      <c r="K2" s="1">
        <f t="shared" ref="K2:K15" si="3">IF(G2=0,0, -(IF(C2=0,0,(C2/G2)*LN(C2/G2)) + IF(D2=0,0,(D2/G2)*LN(D2/G2)) + IF(E2=0,0,(E2/G2)*LN(E2/G2)) )/LN(3))</f>
        <v>0.85295492046641308</v>
      </c>
      <c r="L2" s="1">
        <f t="shared" ref="L2:L15" si="4">(K2-J2+1)/(2-1/3)</f>
        <v>0.82377295227984781</v>
      </c>
    </row>
    <row r="3" spans="1:12" x14ac:dyDescent="0.3">
      <c r="A3" t="s">
        <v>12</v>
      </c>
      <c r="B3" t="s">
        <v>15</v>
      </c>
      <c r="C3">
        <v>23</v>
      </c>
      <c r="D3">
        <v>18</v>
      </c>
      <c r="E3">
        <v>25</v>
      </c>
      <c r="F3">
        <v>0</v>
      </c>
      <c r="G3">
        <v>66</v>
      </c>
      <c r="H3" s="1">
        <f t="shared" si="0"/>
        <v>0</v>
      </c>
      <c r="I3" s="1">
        <f t="shared" si="1"/>
        <v>0.81818181818181812</v>
      </c>
      <c r="J3" s="1">
        <f t="shared" si="2"/>
        <v>0.37878787878787878</v>
      </c>
      <c r="K3" s="1">
        <f t="shared" si="3"/>
        <v>0.99164024835515852</v>
      </c>
      <c r="L3" s="1">
        <f t="shared" si="4"/>
        <v>0.96771142174036773</v>
      </c>
    </row>
    <row r="4" spans="1:12" x14ac:dyDescent="0.3">
      <c r="A4" t="s">
        <v>12</v>
      </c>
      <c r="B4" t="s">
        <v>16</v>
      </c>
      <c r="C4">
        <v>52</v>
      </c>
      <c r="D4">
        <v>5</v>
      </c>
      <c r="E4">
        <v>25</v>
      </c>
      <c r="F4">
        <v>2</v>
      </c>
      <c r="G4">
        <v>82</v>
      </c>
      <c r="H4" s="1">
        <f t="shared" si="0"/>
        <v>2.3809523809523808E-2</v>
      </c>
      <c r="I4" s="1">
        <f t="shared" si="1"/>
        <v>0.18292682926829268</v>
      </c>
      <c r="J4" s="1">
        <f t="shared" si="2"/>
        <v>0.63414634146341464</v>
      </c>
      <c r="K4" s="1">
        <f t="shared" si="3"/>
        <v>0.74780836564625686</v>
      </c>
      <c r="L4" s="1">
        <f t="shared" si="4"/>
        <v>0.66819721450970526</v>
      </c>
    </row>
    <row r="5" spans="1:12" x14ac:dyDescent="0.3">
      <c r="A5" t="s">
        <v>12</v>
      </c>
      <c r="B5" t="s">
        <v>17</v>
      </c>
      <c r="C5">
        <v>52</v>
      </c>
      <c r="D5">
        <v>9</v>
      </c>
      <c r="E5">
        <v>29</v>
      </c>
      <c r="F5">
        <v>1</v>
      </c>
      <c r="G5">
        <v>90</v>
      </c>
      <c r="H5" s="1">
        <f t="shared" si="0"/>
        <v>1.098901098901099E-2</v>
      </c>
      <c r="I5" s="1">
        <f t="shared" si="1"/>
        <v>0.30000000000000004</v>
      </c>
      <c r="J5" s="1">
        <f t="shared" si="2"/>
        <v>0.57777777777777772</v>
      </c>
      <c r="K5" s="1">
        <f t="shared" si="3"/>
        <v>0.83025546100909553</v>
      </c>
      <c r="L5" s="1">
        <f t="shared" si="4"/>
        <v>0.75148660993879068</v>
      </c>
    </row>
    <row r="6" spans="1:12" x14ac:dyDescent="0.3">
      <c r="A6" t="s">
        <v>12</v>
      </c>
      <c r="B6" t="s">
        <v>18</v>
      </c>
      <c r="C6">
        <v>41</v>
      </c>
      <c r="D6">
        <v>11</v>
      </c>
      <c r="E6">
        <v>24</v>
      </c>
      <c r="F6">
        <v>0</v>
      </c>
      <c r="G6">
        <v>76</v>
      </c>
      <c r="H6" s="1">
        <f t="shared" si="0"/>
        <v>0</v>
      </c>
      <c r="I6" s="1">
        <f t="shared" si="1"/>
        <v>0.43421052631578949</v>
      </c>
      <c r="J6" s="1">
        <f t="shared" si="2"/>
        <v>0.53947368421052633</v>
      </c>
      <c r="K6" s="1">
        <f t="shared" si="3"/>
        <v>0.88902992442812412</v>
      </c>
      <c r="L6" s="1">
        <f t="shared" si="4"/>
        <v>0.80973374413055865</v>
      </c>
    </row>
    <row r="7" spans="1:12" x14ac:dyDescent="0.3">
      <c r="A7" t="s">
        <v>12</v>
      </c>
      <c r="B7" t="s">
        <v>19</v>
      </c>
      <c r="C7">
        <v>43</v>
      </c>
      <c r="D7">
        <v>5</v>
      </c>
      <c r="E7">
        <v>28</v>
      </c>
      <c r="F7">
        <v>0</v>
      </c>
      <c r="G7">
        <v>76</v>
      </c>
      <c r="H7" s="1">
        <f t="shared" si="0"/>
        <v>0</v>
      </c>
      <c r="I7" s="1">
        <f t="shared" si="1"/>
        <v>0.19736842105263158</v>
      </c>
      <c r="J7" s="1">
        <f t="shared" si="2"/>
        <v>0.56578947368421051</v>
      </c>
      <c r="K7" s="1">
        <f t="shared" si="3"/>
        <v>0.79113218463256263</v>
      </c>
      <c r="L7" s="1">
        <f t="shared" si="4"/>
        <v>0.73520562656901123</v>
      </c>
    </row>
    <row r="8" spans="1:12" x14ac:dyDescent="0.3">
      <c r="A8" t="s">
        <v>12</v>
      </c>
      <c r="B8" t="s">
        <v>20</v>
      </c>
      <c r="C8">
        <v>45</v>
      </c>
      <c r="D8">
        <v>6</v>
      </c>
      <c r="E8">
        <v>15</v>
      </c>
      <c r="F8">
        <v>1</v>
      </c>
      <c r="G8">
        <v>66</v>
      </c>
      <c r="H8" s="1">
        <f t="shared" si="0"/>
        <v>1.4925373134328358E-2</v>
      </c>
      <c r="I8" s="1">
        <f t="shared" si="1"/>
        <v>0.27272727272727271</v>
      </c>
      <c r="J8" s="1">
        <f t="shared" si="2"/>
        <v>0.68181818181818177</v>
      </c>
      <c r="K8" s="1">
        <f t="shared" si="3"/>
        <v>0.74261855032916557</v>
      </c>
      <c r="L8" s="1">
        <f t="shared" si="4"/>
        <v>0.6364802211065903</v>
      </c>
    </row>
    <row r="9" spans="1:12" x14ac:dyDescent="0.3">
      <c r="A9" t="s">
        <v>13</v>
      </c>
      <c r="B9" t="s">
        <v>21</v>
      </c>
      <c r="C9">
        <v>41</v>
      </c>
      <c r="D9">
        <v>7</v>
      </c>
      <c r="E9">
        <v>21</v>
      </c>
      <c r="F9">
        <v>0</v>
      </c>
      <c r="G9">
        <v>69</v>
      </c>
      <c r="H9" s="1">
        <f t="shared" si="0"/>
        <v>0</v>
      </c>
      <c r="I9" s="1">
        <f t="shared" si="1"/>
        <v>1.7826086956521738</v>
      </c>
      <c r="J9" s="1">
        <f t="shared" si="2"/>
        <v>0.59420289855072461</v>
      </c>
      <c r="K9" s="1">
        <f t="shared" si="3"/>
        <v>0.8223886333403001</v>
      </c>
      <c r="L9" s="1">
        <f t="shared" si="4"/>
        <v>0.73691144087374527</v>
      </c>
    </row>
    <row r="10" spans="1:12" x14ac:dyDescent="0.3">
      <c r="A10" t="s">
        <v>13</v>
      </c>
      <c r="B10" t="s">
        <v>22</v>
      </c>
      <c r="C10">
        <v>32</v>
      </c>
      <c r="D10">
        <v>11</v>
      </c>
      <c r="E10">
        <v>35</v>
      </c>
      <c r="F10">
        <v>3</v>
      </c>
      <c r="G10">
        <v>78</v>
      </c>
      <c r="H10" s="1">
        <f t="shared" si="0"/>
        <v>3.7037037037037035E-2</v>
      </c>
      <c r="I10" s="1">
        <f t="shared" si="1"/>
        <v>1.2307692307692308</v>
      </c>
      <c r="J10" s="1">
        <f t="shared" si="2"/>
        <v>0.44871794871794873</v>
      </c>
      <c r="K10" s="1">
        <f t="shared" si="3"/>
        <v>0.91147282763019966</v>
      </c>
      <c r="L10" s="1">
        <f t="shared" si="4"/>
        <v>0.87765292734735045</v>
      </c>
    </row>
    <row r="11" spans="1:12" x14ac:dyDescent="0.3">
      <c r="A11" t="s">
        <v>13</v>
      </c>
      <c r="B11" t="s">
        <v>23</v>
      </c>
      <c r="C11">
        <v>37</v>
      </c>
      <c r="D11">
        <v>15</v>
      </c>
      <c r="E11">
        <v>29</v>
      </c>
      <c r="F11">
        <v>0</v>
      </c>
      <c r="G11">
        <v>81</v>
      </c>
      <c r="H11" s="1">
        <f t="shared" si="0"/>
        <v>0</v>
      </c>
      <c r="I11" s="1">
        <f t="shared" si="1"/>
        <v>1.3703703703703702</v>
      </c>
      <c r="J11" s="1">
        <f t="shared" si="2"/>
        <v>0.4567901234567901</v>
      </c>
      <c r="K11" s="1">
        <f t="shared" si="3"/>
        <v>0.94478434115982435</v>
      </c>
      <c r="L11" s="1">
        <f t="shared" si="4"/>
        <v>0.89279653062182052</v>
      </c>
    </row>
    <row r="12" spans="1:12" x14ac:dyDescent="0.3">
      <c r="A12" t="s">
        <v>13</v>
      </c>
      <c r="B12" t="s">
        <v>24</v>
      </c>
      <c r="C12">
        <v>53</v>
      </c>
      <c r="D12">
        <v>7</v>
      </c>
      <c r="E12">
        <v>30</v>
      </c>
      <c r="F12">
        <v>2</v>
      </c>
      <c r="G12">
        <v>90</v>
      </c>
      <c r="H12" s="1">
        <f t="shared" si="0"/>
        <v>2.1739130434782608E-2</v>
      </c>
      <c r="I12" s="1">
        <f t="shared" si="1"/>
        <v>1.7666666666666666</v>
      </c>
      <c r="J12" s="1">
        <f t="shared" si="2"/>
        <v>0.58888888888888891</v>
      </c>
      <c r="K12" s="1">
        <f t="shared" si="3"/>
        <v>0.79797746496540234</v>
      </c>
      <c r="L12" s="1">
        <f t="shared" si="4"/>
        <v>0.72545314564590813</v>
      </c>
    </row>
    <row r="13" spans="1:12" x14ac:dyDescent="0.3">
      <c r="A13" t="s">
        <v>13</v>
      </c>
      <c r="B13" t="s">
        <v>25</v>
      </c>
      <c r="C13">
        <v>50</v>
      </c>
      <c r="D13">
        <v>3</v>
      </c>
      <c r="E13">
        <v>23</v>
      </c>
      <c r="F13">
        <v>1</v>
      </c>
      <c r="G13">
        <v>76</v>
      </c>
      <c r="H13" s="1">
        <f t="shared" si="0"/>
        <v>1.2987012987012988E-2</v>
      </c>
      <c r="I13" s="1">
        <f t="shared" si="1"/>
        <v>1.9736842105263159</v>
      </c>
      <c r="J13" s="1">
        <f t="shared" si="2"/>
        <v>0.65789473684210531</v>
      </c>
      <c r="K13" s="1">
        <f t="shared" si="3"/>
        <v>0.69612197369229245</v>
      </c>
      <c r="L13" s="1">
        <f t="shared" si="4"/>
        <v>0.62293634211011217</v>
      </c>
    </row>
    <row r="14" spans="1:12" x14ac:dyDescent="0.3">
      <c r="A14" t="s">
        <v>13</v>
      </c>
      <c r="B14" t="s">
        <v>26</v>
      </c>
      <c r="C14">
        <v>52</v>
      </c>
      <c r="D14">
        <v>1</v>
      </c>
      <c r="E14">
        <v>31</v>
      </c>
      <c r="F14">
        <v>1</v>
      </c>
      <c r="G14">
        <v>84</v>
      </c>
      <c r="H14" s="1">
        <f t="shared" si="0"/>
        <v>1.1764705882352941E-2</v>
      </c>
      <c r="I14" s="1">
        <f t="shared" si="1"/>
        <v>1.8571428571428572</v>
      </c>
      <c r="J14" s="1">
        <f t="shared" si="2"/>
        <v>0.61904761904761907</v>
      </c>
      <c r="K14" s="1">
        <f t="shared" si="3"/>
        <v>0.65310026869738158</v>
      </c>
      <c r="L14" s="1">
        <f t="shared" si="4"/>
        <v>0.62043158978985746</v>
      </c>
    </row>
    <row r="15" spans="1:12" x14ac:dyDescent="0.3">
      <c r="A15" t="s">
        <v>13</v>
      </c>
      <c r="B15" t="s">
        <v>27</v>
      </c>
      <c r="C15">
        <v>47</v>
      </c>
      <c r="D15">
        <v>6</v>
      </c>
      <c r="E15">
        <v>37</v>
      </c>
      <c r="F15">
        <v>3</v>
      </c>
      <c r="G15">
        <v>90</v>
      </c>
      <c r="H15" s="1">
        <f t="shared" si="0"/>
        <v>3.2258064516129031E-2</v>
      </c>
      <c r="I15" s="1">
        <f t="shared" si="1"/>
        <v>1.5666666666666669</v>
      </c>
      <c r="J15" s="1">
        <f t="shared" si="2"/>
        <v>0.52222222222222225</v>
      </c>
      <c r="K15" s="1">
        <f t="shared" si="3"/>
        <v>0.80577828641880156</v>
      </c>
      <c r="L15" s="1">
        <f t="shared" si="4"/>
        <v>0.77013363851794758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0.3550592667922578</v>
      </c>
      <c r="J16" s="1">
        <f>IFERROR(AVERAGEIF($A$2:$A$15,"F",$J$2:$J$15),"")</f>
        <v>0.55111333396314144</v>
      </c>
      <c r="K16" s="1">
        <f>IFERROR(AVERAGEIF($A$2:$A$15,"F",$K$2:$K$15),"")</f>
        <v>0.83506280783811093</v>
      </c>
      <c r="L16" s="1">
        <f>IFERROR(AVERAGEIF($A$2:$A$15,"F",$L$2:$L$15),"")</f>
        <v>0.77036968432498176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1.6497012425420401</v>
      </c>
      <c r="J17" s="1">
        <f>IFERROR(AVERAGEIF($A$2:$A$15,"M",$J$2:$J$15),"")</f>
        <v>0.55539491967518562</v>
      </c>
      <c r="K17" s="1">
        <f>IFERROR(AVERAGEIF($A$2:$A$15,"M",$K$2:$K$15),"")</f>
        <v>0.80451768512917177</v>
      </c>
      <c r="L17" s="1">
        <f>IFERROR(AVERAGEIF($A$2:$A$15,"M",$L$2:$L$15),"")</f>
        <v>0.74947365927239162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2025-09-08T15:46:34Z</dcterms:created>
  <dcterms:modified xsi:type="dcterms:W3CDTF">2025-09-09T11:55:08Z</dcterms:modified>
</cp:coreProperties>
</file>