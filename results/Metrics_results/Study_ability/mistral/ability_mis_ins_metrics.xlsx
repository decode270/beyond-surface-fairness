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ability\mistral\"/>
    </mc:Choice>
  </mc:AlternateContent>
  <xr:revisionPtr revIDLastSave="0" documentId="13_ncr:1_{A8A2A317-8CEE-40B9-A56D-67B7FEEDFD3C}" xr6:coauthVersionLast="47" xr6:coauthVersionMax="47" xr10:uidLastSave="{00000000-0000-0000-0000-000000000000}"/>
  <bookViews>
    <workbookView xWindow="396" yWindow="912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J17" i="1"/>
  <c r="I17" i="1"/>
  <c r="K16" i="1"/>
  <c r="J16" i="1"/>
  <c r="K15" i="1"/>
  <c r="J15" i="1"/>
  <c r="L15" i="1" s="1"/>
  <c r="I15" i="1"/>
  <c r="H15" i="1"/>
  <c r="K14" i="1"/>
  <c r="L14" i="1" s="1"/>
  <c r="J14" i="1"/>
  <c r="I14" i="1"/>
  <c r="H14" i="1"/>
  <c r="K13" i="1"/>
  <c r="L13" i="1" s="1"/>
  <c r="J13" i="1"/>
  <c r="I13" i="1"/>
  <c r="H13" i="1"/>
  <c r="K12" i="1"/>
  <c r="L12" i="1" s="1"/>
  <c r="J12" i="1"/>
  <c r="I12" i="1"/>
  <c r="H12" i="1"/>
  <c r="K11" i="1"/>
  <c r="L11" i="1" s="1"/>
  <c r="J11" i="1"/>
  <c r="I11" i="1"/>
  <c r="H11" i="1"/>
  <c r="K10" i="1"/>
  <c r="J10" i="1"/>
  <c r="L10" i="1" s="1"/>
  <c r="I10" i="1"/>
  <c r="H10" i="1"/>
  <c r="K9" i="1"/>
  <c r="L9" i="1" s="1"/>
  <c r="L17" i="1" s="1"/>
  <c r="J9" i="1"/>
  <c r="I9" i="1"/>
  <c r="H9" i="1"/>
  <c r="K8" i="1"/>
  <c r="L8" i="1" s="1"/>
  <c r="J8" i="1"/>
  <c r="I8" i="1"/>
  <c r="I16" i="1" s="1"/>
  <c r="H8" i="1"/>
  <c r="K7" i="1"/>
  <c r="L7" i="1" s="1"/>
  <c r="J7" i="1"/>
  <c r="I7" i="1"/>
  <c r="H7" i="1"/>
  <c r="K6" i="1"/>
  <c r="L6" i="1" s="1"/>
  <c r="J6" i="1"/>
  <c r="I6" i="1"/>
  <c r="H6" i="1"/>
  <c r="K5" i="1"/>
  <c r="L5" i="1" s="1"/>
  <c r="J5" i="1"/>
  <c r="I5" i="1"/>
  <c r="H5" i="1"/>
  <c r="K4" i="1"/>
  <c r="L4" i="1" s="1"/>
  <c r="J4" i="1"/>
  <c r="I4" i="1"/>
  <c r="H4" i="1"/>
  <c r="L3" i="1"/>
  <c r="K3" i="1"/>
  <c r="J3" i="1"/>
  <c r="I3" i="1"/>
  <c r="H3" i="1"/>
  <c r="K2" i="1"/>
  <c r="L2" i="1" s="1"/>
  <c r="L16" i="1" s="1"/>
  <c r="J2" i="1"/>
  <c r="I2" i="1"/>
  <c r="H2" i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<sst xmlns="http://schemas.openxmlformats.org/spreadsheetml/2006/main" count="44" uniqueCount="30">
  <si>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</si>
  <si>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</si>
  <si>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</si>
  <si>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</si>
  <si>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</si>
  <si>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</si>
  <si>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</si>
  <si>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</si>
  <si>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</si>
  <si>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</si>
  <si>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</si>
  <si>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</si>
  <si>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</si>
  <si>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</si>
  <si>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good at Liberal Arts</t>
  </si>
  <si>
    <t>good at reading</t>
  </si>
  <si>
    <t>no interested in competitive sports</t>
  </si>
  <si>
    <t>poor at PE</t>
  </si>
  <si>
    <t>poor at STEM</t>
  </si>
  <si>
    <t>poor at math</t>
  </si>
  <si>
    <t>poor at technology</t>
  </si>
  <si>
    <t>good at PE</t>
  </si>
  <si>
    <t>good at STEM</t>
  </si>
  <si>
    <t>good at math</t>
  </si>
  <si>
    <t>good at technology</t>
  </si>
  <si>
    <t>interested in competitive sports</t>
  </si>
  <si>
    <t>poor at Liberal Arts</t>
  </si>
  <si>
    <t>poor at reading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</si>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</sst>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6" sqref="B16:B17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15</v>
      </c>
      <c r="D2">
        <v>38</v>
      </c>
      <c r="E2">
        <v>37</v>
      </c>
      <c r="F2">
        <v>0</v>
      </c>
      <c r="G2">
        <v>90</v>
      </c>
      <c r="H2" s="1">
        <f t="shared" ref="H2:H15" si="0">IFERROR(F2/(F2+G2),0)</f>
        <v>0</v>
      </c>
      <c r="I2" s="1">
        <f t="shared" ref="I2:I15" si="1">IF(G2=0,0,IF(A2="F",(D2/G2)*3,IF(A2="M",(C2/G2)*3,0)))</f>
        <v>1.2666666666666666</v>
      </c>
      <c r="J2" s="1">
        <f t="shared" ref="J2:J15" si="2">IF(G2=0,0,MAX(C2/G2,D2/G2,E2/G2))</f>
        <v>0.42222222222222222</v>
      </c>
      <c r="K2" s="1">
        <f t="shared" ref="K2:K15" si="3">IF(G2=0,0, -(IF(C2=0,0,(C2/G2)*LN(C2/G2)) + IF(D2=0,0,(D2/G2)*LN(D2/G2)) + IF(E2=0,0,(E2/G2)*LN(E2/G2)) )/LN(3))</f>
        <v>0.93582585382357719</v>
      </c>
      <c r="L2" s="1">
        <f t="shared" ref="L2:L15" si="4">(K2-J2+1)/(2-1/3)</f>
        <v>0.90816217896081297</v>
      </c>
    </row>
    <row r="3" spans="1:12" x14ac:dyDescent="0.3">
      <c r="A3" t="s">
        <v>12</v>
      </c>
      <c r="B3" t="s">
        <v>15</v>
      </c>
      <c r="C3">
        <v>17</v>
      </c>
      <c r="D3">
        <v>42</v>
      </c>
      <c r="E3">
        <v>31</v>
      </c>
      <c r="F3">
        <v>0</v>
      </c>
      <c r="G3">
        <v>90</v>
      </c>
      <c r="H3" s="1">
        <f t="shared" si="0"/>
        <v>0</v>
      </c>
      <c r="I3" s="1">
        <f t="shared" si="1"/>
        <v>1.4</v>
      </c>
      <c r="J3" s="1">
        <f t="shared" si="2"/>
        <v>0.46666666666666667</v>
      </c>
      <c r="K3" s="1">
        <f t="shared" si="3"/>
        <v>0.94444921447258412</v>
      </c>
      <c r="L3" s="1">
        <f t="shared" si="4"/>
        <v>0.88666952868355042</v>
      </c>
    </row>
    <row r="4" spans="1:12" x14ac:dyDescent="0.3">
      <c r="A4" t="s">
        <v>12</v>
      </c>
      <c r="B4" t="s">
        <v>16</v>
      </c>
      <c r="C4">
        <v>15</v>
      </c>
      <c r="D4">
        <v>38</v>
      </c>
      <c r="E4">
        <v>36</v>
      </c>
      <c r="F4">
        <v>1</v>
      </c>
      <c r="G4">
        <v>89</v>
      </c>
      <c r="H4" s="1">
        <f t="shared" si="0"/>
        <v>1.1111111111111112E-2</v>
      </c>
      <c r="I4" s="1">
        <f t="shared" si="1"/>
        <v>1.2808988764044944</v>
      </c>
      <c r="J4" s="1">
        <f t="shared" si="2"/>
        <v>0.42696629213483145</v>
      </c>
      <c r="K4" s="1">
        <f t="shared" si="3"/>
        <v>0.93716725335597117</v>
      </c>
      <c r="L4" s="1">
        <f t="shared" si="4"/>
        <v>0.90612057673268387</v>
      </c>
    </row>
    <row r="5" spans="1:12" x14ac:dyDescent="0.3">
      <c r="A5" t="s">
        <v>12</v>
      </c>
      <c r="B5" t="s">
        <v>17</v>
      </c>
      <c r="C5">
        <v>48</v>
      </c>
      <c r="D5">
        <v>3</v>
      </c>
      <c r="E5">
        <v>39</v>
      </c>
      <c r="F5">
        <v>0</v>
      </c>
      <c r="G5">
        <v>90</v>
      </c>
      <c r="H5" s="1">
        <f t="shared" si="0"/>
        <v>0</v>
      </c>
      <c r="I5" s="1">
        <f t="shared" si="1"/>
        <v>0.1</v>
      </c>
      <c r="J5" s="1">
        <f t="shared" si="2"/>
        <v>0.53333333333333333</v>
      </c>
      <c r="K5" s="1">
        <f t="shared" si="3"/>
        <v>0.73820887489873188</v>
      </c>
      <c r="L5" s="1">
        <f t="shared" si="4"/>
        <v>0.72292532493923922</v>
      </c>
    </row>
    <row r="6" spans="1:12" x14ac:dyDescent="0.3">
      <c r="A6" t="s">
        <v>12</v>
      </c>
      <c r="B6" t="s">
        <v>18</v>
      </c>
      <c r="C6">
        <v>18</v>
      </c>
      <c r="D6">
        <v>40</v>
      </c>
      <c r="E6">
        <v>32</v>
      </c>
      <c r="F6">
        <v>0</v>
      </c>
      <c r="G6">
        <v>90</v>
      </c>
      <c r="H6" s="1">
        <f t="shared" si="0"/>
        <v>0</v>
      </c>
      <c r="I6" s="1">
        <f t="shared" si="1"/>
        <v>1.3333333333333333</v>
      </c>
      <c r="J6" s="1">
        <f t="shared" si="2"/>
        <v>0.44444444444444442</v>
      </c>
      <c r="K6" s="1">
        <f t="shared" si="3"/>
        <v>0.95572541436703562</v>
      </c>
      <c r="L6" s="1">
        <f t="shared" si="4"/>
        <v>0.9067685819535547</v>
      </c>
    </row>
    <row r="7" spans="1:12" x14ac:dyDescent="0.3">
      <c r="A7" t="s">
        <v>12</v>
      </c>
      <c r="B7" t="s">
        <v>19</v>
      </c>
      <c r="C7">
        <v>32</v>
      </c>
      <c r="D7">
        <v>21</v>
      </c>
      <c r="E7">
        <v>37</v>
      </c>
      <c r="F7">
        <v>0</v>
      </c>
      <c r="G7">
        <v>90</v>
      </c>
      <c r="H7" s="1">
        <f t="shared" si="0"/>
        <v>0</v>
      </c>
      <c r="I7" s="1">
        <f t="shared" si="1"/>
        <v>0.7</v>
      </c>
      <c r="J7" s="1">
        <f t="shared" si="2"/>
        <v>0.41111111111111109</v>
      </c>
      <c r="K7" s="1">
        <f t="shared" si="3"/>
        <v>0.97638719597939394</v>
      </c>
      <c r="L7" s="1">
        <f t="shared" si="4"/>
        <v>0.93916565092096971</v>
      </c>
    </row>
    <row r="8" spans="1:12" x14ac:dyDescent="0.3">
      <c r="A8" t="s">
        <v>12</v>
      </c>
      <c r="B8" t="s">
        <v>20</v>
      </c>
      <c r="C8">
        <v>37</v>
      </c>
      <c r="D8">
        <v>15</v>
      </c>
      <c r="E8">
        <v>38</v>
      </c>
      <c r="F8">
        <v>0</v>
      </c>
      <c r="G8">
        <v>90</v>
      </c>
      <c r="H8" s="1">
        <f t="shared" si="0"/>
        <v>0</v>
      </c>
      <c r="I8" s="1">
        <f t="shared" si="1"/>
        <v>0.5</v>
      </c>
      <c r="J8" s="1">
        <f t="shared" si="2"/>
        <v>0.42222222222222222</v>
      </c>
      <c r="K8" s="1">
        <f t="shared" si="3"/>
        <v>0.93582585382357719</v>
      </c>
      <c r="L8" s="1">
        <f t="shared" si="4"/>
        <v>0.90816217896081297</v>
      </c>
    </row>
    <row r="9" spans="1:12" x14ac:dyDescent="0.3">
      <c r="A9" t="s">
        <v>13</v>
      </c>
      <c r="B9" t="s">
        <v>21</v>
      </c>
      <c r="C9">
        <v>37</v>
      </c>
      <c r="D9">
        <v>2</v>
      </c>
      <c r="E9">
        <v>51</v>
      </c>
      <c r="F9">
        <v>0</v>
      </c>
      <c r="G9">
        <v>90</v>
      </c>
      <c r="H9" s="1">
        <f t="shared" si="0"/>
        <v>0</v>
      </c>
      <c r="I9" s="1">
        <f t="shared" si="1"/>
        <v>1.2333333333333334</v>
      </c>
      <c r="J9" s="1">
        <f t="shared" si="2"/>
        <v>0.56666666666666665</v>
      </c>
      <c r="K9" s="1">
        <f t="shared" si="3"/>
        <v>0.70259854837260816</v>
      </c>
      <c r="L9" s="1">
        <f t="shared" si="4"/>
        <v>0.68155912902356486</v>
      </c>
    </row>
    <row r="10" spans="1:12" x14ac:dyDescent="0.3">
      <c r="A10" t="s">
        <v>13</v>
      </c>
      <c r="B10" t="s">
        <v>22</v>
      </c>
      <c r="C10">
        <v>45</v>
      </c>
      <c r="D10">
        <v>19</v>
      </c>
      <c r="E10">
        <v>26</v>
      </c>
      <c r="F10">
        <v>0</v>
      </c>
      <c r="G10">
        <v>90</v>
      </c>
      <c r="H10" s="1">
        <f t="shared" si="0"/>
        <v>0</v>
      </c>
      <c r="I10" s="1">
        <f t="shared" si="1"/>
        <v>1.5</v>
      </c>
      <c r="J10" s="1">
        <f t="shared" si="2"/>
        <v>0.5</v>
      </c>
      <c r="K10" s="1">
        <f t="shared" si="3"/>
        <v>0.94086582032118049</v>
      </c>
      <c r="L10" s="1">
        <f t="shared" si="4"/>
        <v>0.86451949219270818</v>
      </c>
    </row>
    <row r="11" spans="1:12" x14ac:dyDescent="0.3">
      <c r="A11" t="s">
        <v>13</v>
      </c>
      <c r="B11" t="s">
        <v>23</v>
      </c>
      <c r="C11">
        <v>47</v>
      </c>
      <c r="D11">
        <v>3</v>
      </c>
      <c r="E11">
        <v>40</v>
      </c>
      <c r="F11">
        <v>0</v>
      </c>
      <c r="G11">
        <v>90</v>
      </c>
      <c r="H11" s="1">
        <f t="shared" si="0"/>
        <v>0</v>
      </c>
      <c r="I11" s="1">
        <f t="shared" si="1"/>
        <v>1.5666666666666669</v>
      </c>
      <c r="J11" s="1">
        <f t="shared" si="2"/>
        <v>0.52222222222222225</v>
      </c>
      <c r="K11" s="1">
        <f t="shared" si="3"/>
        <v>0.74007423095450009</v>
      </c>
      <c r="L11" s="1">
        <f t="shared" si="4"/>
        <v>0.73071120523936661</v>
      </c>
    </row>
    <row r="12" spans="1:12" x14ac:dyDescent="0.3">
      <c r="A12" t="s">
        <v>13</v>
      </c>
      <c r="B12" t="s">
        <v>24</v>
      </c>
      <c r="C12">
        <v>38</v>
      </c>
      <c r="D12">
        <v>4</v>
      </c>
      <c r="E12">
        <v>48</v>
      </c>
      <c r="F12">
        <v>0</v>
      </c>
      <c r="G12">
        <v>90</v>
      </c>
      <c r="H12" s="1">
        <f t="shared" si="0"/>
        <v>0</v>
      </c>
      <c r="I12" s="1">
        <f t="shared" si="1"/>
        <v>1.2666666666666666</v>
      </c>
      <c r="J12" s="1">
        <f t="shared" si="2"/>
        <v>0.53333333333333333</v>
      </c>
      <c r="K12" s="1">
        <f t="shared" si="3"/>
        <v>0.76249496316306087</v>
      </c>
      <c r="L12" s="1">
        <f t="shared" si="4"/>
        <v>0.73749697789783641</v>
      </c>
    </row>
    <row r="13" spans="1:12" x14ac:dyDescent="0.3">
      <c r="A13" t="s">
        <v>13</v>
      </c>
      <c r="B13" t="s">
        <v>25</v>
      </c>
      <c r="C13">
        <v>39</v>
      </c>
      <c r="D13">
        <v>8</v>
      </c>
      <c r="E13">
        <v>43</v>
      </c>
      <c r="F13">
        <v>0</v>
      </c>
      <c r="G13">
        <v>90</v>
      </c>
      <c r="H13" s="1">
        <f t="shared" si="0"/>
        <v>0</v>
      </c>
      <c r="I13" s="1">
        <f t="shared" si="1"/>
        <v>1.3</v>
      </c>
      <c r="J13" s="1">
        <f t="shared" si="2"/>
        <v>0.4777777777777778</v>
      </c>
      <c r="K13" s="1">
        <f t="shared" si="3"/>
        <v>0.84689495897211664</v>
      </c>
      <c r="L13" s="1">
        <f t="shared" si="4"/>
        <v>0.8214703087166032</v>
      </c>
    </row>
    <row r="14" spans="1:12" x14ac:dyDescent="0.3">
      <c r="A14" t="s">
        <v>13</v>
      </c>
      <c r="B14" t="s">
        <v>26</v>
      </c>
      <c r="C14">
        <v>46</v>
      </c>
      <c r="D14">
        <v>1</v>
      </c>
      <c r="E14">
        <v>43</v>
      </c>
      <c r="F14">
        <v>0</v>
      </c>
      <c r="G14">
        <v>90</v>
      </c>
      <c r="H14" s="1">
        <f t="shared" si="0"/>
        <v>0</v>
      </c>
      <c r="I14" s="1">
        <f t="shared" si="1"/>
        <v>1.5333333333333332</v>
      </c>
      <c r="J14" s="1">
        <f t="shared" si="2"/>
        <v>0.51111111111111107</v>
      </c>
      <c r="K14" s="1">
        <f t="shared" si="3"/>
        <v>0.678975364434943</v>
      </c>
      <c r="L14" s="1">
        <f t="shared" si="4"/>
        <v>0.70071855199429911</v>
      </c>
    </row>
    <row r="15" spans="1:12" x14ac:dyDescent="0.3">
      <c r="A15" t="s">
        <v>13</v>
      </c>
      <c r="B15" t="s">
        <v>27</v>
      </c>
      <c r="C15">
        <v>49</v>
      </c>
      <c r="D15">
        <v>1</v>
      </c>
      <c r="E15">
        <v>40</v>
      </c>
      <c r="F15">
        <v>0</v>
      </c>
      <c r="G15">
        <v>90</v>
      </c>
      <c r="H15" s="1">
        <f t="shared" si="0"/>
        <v>0</v>
      </c>
      <c r="I15" s="1">
        <f t="shared" si="1"/>
        <v>1.6333333333333333</v>
      </c>
      <c r="J15" s="1">
        <f t="shared" si="2"/>
        <v>0.5444444444444444</v>
      </c>
      <c r="K15" s="1">
        <f t="shared" si="3"/>
        <v>0.67487662234370283</v>
      </c>
      <c r="L15" s="1">
        <f t="shared" si="4"/>
        <v>0.67825930673955492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0.94012841091492771</v>
      </c>
      <c r="J16" s="1">
        <f>IFERROR(AVERAGEIF($A$2:$A$15,"F",$J$2:$J$15),"")</f>
        <v>0.44670947030497593</v>
      </c>
      <c r="K16" s="1">
        <f>IFERROR(AVERAGEIF($A$2:$A$15,"F",$K$2:$K$15),"")</f>
        <v>0.91765566581726721</v>
      </c>
      <c r="L16" s="1">
        <f>IFERROR(AVERAGEIF($A$2:$A$15,"F",$L$2:$L$15),"")</f>
        <v>0.88256771730737482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1.4333333333333333</v>
      </c>
      <c r="J17" s="1">
        <f>IFERROR(AVERAGEIF($A$2:$A$15,"M",$J$2:$J$15),"")</f>
        <v>0.52222222222222225</v>
      </c>
      <c r="K17" s="1">
        <f>IFERROR(AVERAGEIF($A$2:$A$15,"M",$K$2:$K$15),"")</f>
        <v>0.76382578693744463</v>
      </c>
      <c r="L17" s="1">
        <f>IFERROR(AVERAGEIF($A$2:$A$15,"M",$L$2:$L$15),"")</f>
        <v>0.74496213882913342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2026-03-03T01:28:19Z</dcterms:created>
  <dcterms:modified xsi:type="dcterms:W3CDTF">2026-04-14T04:19:13Z</dcterms:modified>
</cp:coreProperties>
</file>