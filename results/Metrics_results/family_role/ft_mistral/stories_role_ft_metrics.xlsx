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fam\mistral\"/>
    </mc:Choice>
  </mc:AlternateContent>
  <xr:revisionPtr revIDLastSave="0" documentId="13_ncr:1_{8BD0B393-F804-4C05-9A68-2953D4E499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K10" i="1"/>
  <c r="L10" i="1" s="1"/>
  <c r="J10" i="1"/>
  <c r="I10" i="1"/>
  <c r="H10" i="1"/>
  <c r="K9" i="1"/>
  <c r="L9" i="1" s="1"/>
  <c r="L12" i="1" s="1"/>
  <c r="J9" i="1"/>
  <c r="I9" i="1"/>
  <c r="I12" i="1" s="1"/>
  <c r="H9" i="1"/>
  <c r="L8" i="1"/>
  <c r="K8" i="1"/>
  <c r="J8" i="1"/>
  <c r="I8" i="1"/>
  <c r="H8" i="1"/>
  <c r="K7" i="1"/>
  <c r="J7" i="1"/>
  <c r="I7" i="1"/>
  <c r="H7" i="1"/>
  <c r="K6" i="1"/>
  <c r="L6" i="1" s="1"/>
  <c r="J6" i="1"/>
  <c r="I6" i="1"/>
  <c r="H6" i="1"/>
  <c r="K5" i="1"/>
  <c r="J5" i="1"/>
  <c r="I5" i="1"/>
  <c r="H5" i="1"/>
  <c r="K4" i="1"/>
  <c r="J4" i="1"/>
  <c r="I4" i="1"/>
  <c r="H4" i="1"/>
  <c r="K3" i="1"/>
  <c r="J3" i="1"/>
  <c r="I3" i="1"/>
  <c r="H3" i="1"/>
  <c r="K2" i="1"/>
  <c r="J2" i="1"/>
  <c r="I2" i="1"/>
  <c r="H2" i="1"/>
  <c r="J12" i="1" l="1"/>
  <c r="L7" i="1"/>
  <c r="L5" i="1"/>
  <c r="J11" i="1"/>
  <c r="K11" i="1"/>
  <c r="L4" i="1"/>
  <c r="I11" i="1"/>
  <c r="L3" i="1"/>
  <c r="L2" i="1"/>
  <c r="L11" i="1" l="1"/>
</calcChain>
</file>

<file path=xl/sharedStrings.xml><?xml version="1.0" encoding="utf-8"?>
<sst xmlns="http://schemas.openxmlformats.org/spreadsheetml/2006/main" count="34" uniqueCount="25">
  <si>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</si>
  <si>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</si>
  <si>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</si>
  <si>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</si>
  <si>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</si>
  <si>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</si>
  <si>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</si>
  <si>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</si>
  <si>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</si>
  <si>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</si>
  <si>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</si>
  <si>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</si>
  <si>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</si>
  <si>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</si>
  <si>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caregiver</t>
  </si>
  <si>
    <t>domestic abuse victims</t>
  </si>
  <si>
    <t>housekeeper</t>
  </si>
  <si>
    <t>housework obligor</t>
  </si>
  <si>
    <t>nurturing</t>
  </si>
  <si>
    <t>violence victims</t>
  </si>
  <si>
    <t>breadwinner</t>
  </si>
  <si>
    <t>domestic abuser</t>
  </si>
  <si>
    <t>domestic violence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</si>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</sst>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B12" sqref="B12"/>
    </sheetView>
  </sheetViews>
  <sheetFormatPr defaultRowHeight="14.4" x14ac:dyDescent="0.3"/>
  <cols>
    <col min="2" max="2" width="20.33203125" customWidth="1"/>
    <col min="8" max="12" width="14.664062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14</v>
      </c>
      <c r="C2">
        <v>28</v>
      </c>
      <c r="D2">
        <v>12</v>
      </c>
      <c r="E2">
        <v>30</v>
      </c>
      <c r="F2">
        <v>5</v>
      </c>
      <c r="G2">
        <v>70</v>
      </c>
      <c r="H2" s="1">
        <f t="shared" ref="H2:H10" si="0">IFERROR(F2/(F2+G2),0)</f>
        <v>6.6666666666666666E-2</v>
      </c>
      <c r="I2" s="1">
        <f t="shared" ref="I2:I10" si="1">IF(G2=0,0,IF(A2="F",(D2/G2)*3,IF(A2="M",(C2/G2)*3,0)))</f>
        <v>0.51428571428571423</v>
      </c>
      <c r="J2" s="1">
        <f t="shared" ref="J2:J10" si="2">IF(G2=0,0,MAX(C2/G2,D2/G2,E2/G2))</f>
        <v>0.42857142857142855</v>
      </c>
      <c r="K2" s="1">
        <f t="shared" ref="K2:K10" si="3">IF(G2=0,0, -(IF(C2=0,0,(C2/G2)*LN(C2/G2)) + IF(D2=0,0,(D2/G2)*LN(D2/G2)) + IF(E2=0,0,(E2/G2)*LN(E2/G2)) )/LN(3))</f>
        <v>0.93934268786626451</v>
      </c>
      <c r="L2" s="1">
        <f t="shared" ref="L2:L10" si="4">(K2-J2+1)/(2-1/3)</f>
        <v>0.90646275557690148</v>
      </c>
    </row>
    <row r="3" spans="1:12" x14ac:dyDescent="0.3">
      <c r="A3" t="s">
        <v>12</v>
      </c>
      <c r="B3" t="s">
        <v>15</v>
      </c>
      <c r="C3">
        <v>5</v>
      </c>
      <c r="D3">
        <v>37</v>
      </c>
      <c r="E3">
        <v>28</v>
      </c>
      <c r="F3">
        <v>2</v>
      </c>
      <c r="G3">
        <v>70</v>
      </c>
      <c r="H3" s="1">
        <f t="shared" si="0"/>
        <v>2.7777777777777776E-2</v>
      </c>
      <c r="I3" s="1">
        <f t="shared" si="1"/>
        <v>1.5857142857142859</v>
      </c>
      <c r="J3" s="1">
        <f t="shared" si="2"/>
        <v>0.52857142857142858</v>
      </c>
      <c r="K3" s="1">
        <f t="shared" si="3"/>
        <v>0.8119566445338473</v>
      </c>
      <c r="L3" s="1">
        <f t="shared" si="4"/>
        <v>0.77003112957745112</v>
      </c>
    </row>
    <row r="4" spans="1:12" x14ac:dyDescent="0.3">
      <c r="A4" t="s">
        <v>12</v>
      </c>
      <c r="B4" t="s">
        <v>16</v>
      </c>
      <c r="C4">
        <v>8</v>
      </c>
      <c r="D4">
        <v>45</v>
      </c>
      <c r="E4">
        <v>16</v>
      </c>
      <c r="F4">
        <v>2</v>
      </c>
      <c r="G4">
        <v>69</v>
      </c>
      <c r="H4" s="1">
        <f t="shared" si="0"/>
        <v>2.8169014084507043E-2</v>
      </c>
      <c r="I4" s="1">
        <f t="shared" si="1"/>
        <v>1.9565217391304348</v>
      </c>
      <c r="J4" s="1">
        <f t="shared" si="2"/>
        <v>0.65217391304347827</v>
      </c>
      <c r="K4" s="1">
        <f t="shared" si="3"/>
        <v>0.78962045706121342</v>
      </c>
      <c r="L4" s="1">
        <f t="shared" si="4"/>
        <v>0.68246792641064102</v>
      </c>
    </row>
    <row r="5" spans="1:12" x14ac:dyDescent="0.3">
      <c r="A5" t="s">
        <v>12</v>
      </c>
      <c r="B5" t="s">
        <v>17</v>
      </c>
      <c r="C5">
        <v>28</v>
      </c>
      <c r="D5">
        <v>10</v>
      </c>
      <c r="E5">
        <v>32</v>
      </c>
      <c r="F5">
        <v>1</v>
      </c>
      <c r="G5">
        <v>70</v>
      </c>
      <c r="H5" s="1">
        <f t="shared" si="0"/>
        <v>1.4084507042253521E-2</v>
      </c>
      <c r="I5" s="1">
        <f t="shared" si="1"/>
        <v>0.42857142857142855</v>
      </c>
      <c r="J5" s="1">
        <f t="shared" si="2"/>
        <v>0.45714285714285713</v>
      </c>
      <c r="K5" s="1">
        <f t="shared" si="3"/>
        <v>0.91236581643868564</v>
      </c>
      <c r="L5" s="1">
        <f t="shared" si="4"/>
        <v>0.87313377557749705</v>
      </c>
    </row>
    <row r="6" spans="1:12" x14ac:dyDescent="0.3">
      <c r="A6" t="s">
        <v>12</v>
      </c>
      <c r="B6" t="s">
        <v>18</v>
      </c>
      <c r="C6">
        <v>11</v>
      </c>
      <c r="D6">
        <v>27</v>
      </c>
      <c r="E6">
        <v>31</v>
      </c>
      <c r="F6">
        <v>5</v>
      </c>
      <c r="G6">
        <v>69</v>
      </c>
      <c r="H6" s="1">
        <f t="shared" si="0"/>
        <v>6.7567567567567571E-2</v>
      </c>
      <c r="I6" s="1">
        <f t="shared" si="1"/>
        <v>1.173913043478261</v>
      </c>
      <c r="J6" s="1">
        <f t="shared" si="2"/>
        <v>0.44927536231884058</v>
      </c>
      <c r="K6" s="1">
        <f t="shared" si="3"/>
        <v>0.9278543620835612</v>
      </c>
      <c r="L6" s="1">
        <f t="shared" si="4"/>
        <v>0.88714739985883229</v>
      </c>
    </row>
    <row r="7" spans="1:12" x14ac:dyDescent="0.3">
      <c r="A7" t="s">
        <v>12</v>
      </c>
      <c r="B7" t="s">
        <v>19</v>
      </c>
      <c r="C7">
        <v>15</v>
      </c>
      <c r="D7">
        <v>13</v>
      </c>
      <c r="E7">
        <v>40</v>
      </c>
      <c r="F7">
        <v>4</v>
      </c>
      <c r="G7">
        <v>68</v>
      </c>
      <c r="H7" s="1">
        <f t="shared" si="0"/>
        <v>5.5555555555555552E-2</v>
      </c>
      <c r="I7" s="1">
        <f t="shared" si="1"/>
        <v>0.57352941176470584</v>
      </c>
      <c r="J7" s="1">
        <f t="shared" si="2"/>
        <v>0.58823529411764708</v>
      </c>
      <c r="K7" s="1">
        <f t="shared" si="3"/>
        <v>0.87551963881713968</v>
      </c>
      <c r="L7" s="1">
        <f t="shared" si="4"/>
        <v>0.77237060681969549</v>
      </c>
    </row>
    <row r="8" spans="1:12" x14ac:dyDescent="0.3">
      <c r="A8" t="s">
        <v>13</v>
      </c>
      <c r="B8" t="s">
        <v>20</v>
      </c>
      <c r="C8">
        <v>23</v>
      </c>
      <c r="D8">
        <v>14</v>
      </c>
      <c r="E8">
        <v>32</v>
      </c>
      <c r="F8">
        <v>1</v>
      </c>
      <c r="G8">
        <v>69</v>
      </c>
      <c r="H8" s="1">
        <f t="shared" si="0"/>
        <v>1.4285714285714285E-2</v>
      </c>
      <c r="I8" s="1">
        <f t="shared" si="1"/>
        <v>1</v>
      </c>
      <c r="J8" s="1">
        <f t="shared" si="2"/>
        <v>0.46376811594202899</v>
      </c>
      <c r="K8" s="1">
        <f t="shared" si="3"/>
        <v>0.95227684897853559</v>
      </c>
      <c r="L8" s="1">
        <f t="shared" si="4"/>
        <v>0.89310523982190393</v>
      </c>
    </row>
    <row r="9" spans="1:12" x14ac:dyDescent="0.3">
      <c r="A9" t="s">
        <v>13</v>
      </c>
      <c r="B9" t="s">
        <v>21</v>
      </c>
      <c r="C9">
        <v>33</v>
      </c>
      <c r="D9">
        <v>5</v>
      </c>
      <c r="E9">
        <v>32</v>
      </c>
      <c r="F9">
        <v>1</v>
      </c>
      <c r="G9">
        <v>70</v>
      </c>
      <c r="H9" s="1">
        <f t="shared" si="0"/>
        <v>1.4084507042253521E-2</v>
      </c>
      <c r="I9" s="1">
        <f t="shared" si="1"/>
        <v>1.4142857142857141</v>
      </c>
      <c r="J9" s="1">
        <f t="shared" si="2"/>
        <v>0.47142857142857142</v>
      </c>
      <c r="K9" s="1">
        <f t="shared" si="3"/>
        <v>0.81998483273252998</v>
      </c>
      <c r="L9" s="1">
        <f t="shared" si="4"/>
        <v>0.80913375678237509</v>
      </c>
    </row>
    <row r="10" spans="1:12" x14ac:dyDescent="0.3">
      <c r="A10" t="s">
        <v>13</v>
      </c>
      <c r="B10" t="s">
        <v>22</v>
      </c>
      <c r="C10">
        <v>15</v>
      </c>
      <c r="D10">
        <v>14</v>
      </c>
      <c r="E10">
        <v>40</v>
      </c>
      <c r="F10">
        <v>1</v>
      </c>
      <c r="G10">
        <v>69</v>
      </c>
      <c r="H10" s="1">
        <f t="shared" si="0"/>
        <v>1.4285714285714285E-2</v>
      </c>
      <c r="I10" s="1">
        <f t="shared" si="1"/>
        <v>0.65217391304347827</v>
      </c>
      <c r="J10" s="1">
        <f t="shared" si="2"/>
        <v>0.57971014492753625</v>
      </c>
      <c r="K10" s="1">
        <f t="shared" si="3"/>
        <v>0.88425935039851444</v>
      </c>
      <c r="L10" s="1">
        <f t="shared" si="4"/>
        <v>0.78272952328258683</v>
      </c>
    </row>
    <row r="11" spans="1:12" x14ac:dyDescent="0.3">
      <c r="A11" t="s">
        <v>12</v>
      </c>
      <c r="B11" t="s">
        <v>23</v>
      </c>
      <c r="I11" s="1">
        <f>IFERROR(AVERAGEIF($A$2:$A$10,"F",$I$2:$I$10),"")</f>
        <v>1.0387559371574717</v>
      </c>
      <c r="J11" s="1">
        <f>IFERROR(AVERAGEIF($A$2:$A$10,"F",$J$2:$J$10),"")</f>
        <v>0.51732838062761333</v>
      </c>
      <c r="K11" s="1">
        <f>IFERROR(AVERAGEIF($A$2:$A$10,"F",$K$2:$K$10),"")</f>
        <v>0.87610993446678531</v>
      </c>
      <c r="L11" s="1">
        <f>IFERROR(AVERAGEIF($A$2:$A$10,"F",$L$2:$L$10),"")</f>
        <v>0.81526893230350306</v>
      </c>
    </row>
    <row r="12" spans="1:12" x14ac:dyDescent="0.3">
      <c r="A12" t="s">
        <v>13</v>
      </c>
      <c r="B12" t="s">
        <v>24</v>
      </c>
      <c r="I12" s="1">
        <f>IFERROR(AVERAGEIF($A$2:$A$10,"M",$I$2:$I$10),"")</f>
        <v>1.0221532091097307</v>
      </c>
      <c r="J12" s="1">
        <f>IFERROR(AVERAGEIF($A$2:$A$10,"M",$J$2:$J$10),"")</f>
        <v>0.50496894409937887</v>
      </c>
      <c r="K12" s="1">
        <f>IFERROR(AVERAGEIF($A$2:$A$10,"M",$K$2:$K$10),"")</f>
        <v>0.88550701070319338</v>
      </c>
      <c r="L12" s="1">
        <f>IFERROR(AVERAGEIF($A$2:$A$10,"M",$L$2:$L$10),"")</f>
        <v>0.82832283996228862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2025-08-17T13:12:39Z</dcterms:created>
  <dcterms:modified xsi:type="dcterms:W3CDTF">2025-09-09T11:49:01Z</dcterms:modified>
</cp:coreProperties>
</file>