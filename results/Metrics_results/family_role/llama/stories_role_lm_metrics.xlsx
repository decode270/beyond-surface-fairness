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llama\"/>
    </mc:Choice>
  </mc:AlternateContent>
  <xr:revisionPtr revIDLastSave="0" documentId="13_ncr:1_{6044E6A9-2462-4842-AF7C-725D522BE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  <c r="H10" i="1"/>
  <c r="K9" i="1"/>
  <c r="J9" i="1"/>
  <c r="I9" i="1"/>
  <c r="H9" i="1"/>
  <c r="K8" i="1"/>
  <c r="J8" i="1"/>
  <c r="I8" i="1"/>
  <c r="H8" i="1"/>
  <c r="K7" i="1"/>
  <c r="L7" i="1" s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2" i="1" l="1"/>
  <c r="L11" i="1" s="1"/>
  <c r="L3" i="1"/>
  <c r="L4" i="1"/>
  <c r="L5" i="1"/>
  <c r="L6" i="1"/>
  <c r="I11" i="1"/>
  <c r="J11" i="1"/>
  <c r="K11" i="1"/>
  <c r="L8" i="1"/>
  <c r="J12" i="1"/>
  <c r="L9" i="1"/>
  <c r="I12" i="1"/>
  <c r="K12" i="1"/>
  <c r="L10" i="1"/>
  <c r="L12" i="1" l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<sst xmlns="http://schemas.openxmlformats.org/spreadsheetml/2006/main" count="34" uniqueCount="25">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</sst>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60" zoomScaleNormal="160" workbookViewId="0">
      <selection activeCell="B14" sqref="B14"/>
    </sheetView>
  </sheetViews>
  <sheetFormatPr defaultRowHeight="14.4" x14ac:dyDescent="0.3"/>
  <cols>
    <col min="2" max="2" width="17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8</v>
      </c>
      <c r="D2">
        <v>60</v>
      </c>
      <c r="E2">
        <v>2</v>
      </c>
      <c r="F2">
        <v>1</v>
      </c>
      <c r="G2">
        <v>70</v>
      </c>
      <c r="H2" s="1">
        <f t="shared" ref="H2:H10" si="0">IFERROR(F2/(F2+G2),0)</f>
        <v>1.4084507042253521E-2</v>
      </c>
      <c r="I2" s="1">
        <f t="shared" ref="I2:I10" si="1">IF(G2=0,0,IF(A2="F",(D2/G2)*3,IF(A2="M",(C2/G2)*3,0)))</f>
        <v>2.5714285714285712</v>
      </c>
      <c r="J2" s="1">
        <f t="shared" ref="J2:J10" si="2">IF(G2=0,0,MAX(C2/G2,D2/G2,E2/G2))</f>
        <v>0.8571428571428571</v>
      </c>
      <c r="K2" s="1">
        <f t="shared" ref="K2:K10" si="3">IF(G2=0,0, -(IF(C2=0,0,(C2/G2)*LN(C2/G2)) + IF(D2=0,0,(D2/G2)*LN(D2/G2)) + IF(E2=0,0,(E2/G2)*LN(E2/G2)) )/LN(3))</f>
        <v>0.43837337681497235</v>
      </c>
      <c r="L2" s="1">
        <f t="shared" ref="L2:L10" si="4">(K2-J2+1)/(2-1/3)</f>
        <v>0.34873831180326914</v>
      </c>
    </row>
    <row r="3" spans="1:12" x14ac:dyDescent="0.3">
      <c r="A3" t="s">
        <v>12</v>
      </c>
      <c r="B3" t="s">
        <v>15</v>
      </c>
      <c r="C3">
        <v>4</v>
      </c>
      <c r="D3">
        <v>66</v>
      </c>
      <c r="E3">
        <v>2</v>
      </c>
      <c r="F3">
        <v>2</v>
      </c>
      <c r="G3">
        <v>70</v>
      </c>
      <c r="H3" s="1">
        <f t="shared" si="0"/>
        <v>2.7777777777777776E-2</v>
      </c>
      <c r="I3" s="1">
        <f t="shared" si="1"/>
        <v>2.8285714285714283</v>
      </c>
      <c r="J3" s="1">
        <f t="shared" si="2"/>
        <v>0.94285714285714284</v>
      </c>
      <c r="K3" s="1">
        <f t="shared" si="3"/>
        <v>0.29183534380734594</v>
      </c>
      <c r="L3" s="1">
        <f t="shared" si="4"/>
        <v>0.20938692057012187</v>
      </c>
    </row>
    <row r="4" spans="1:12" x14ac:dyDescent="0.3">
      <c r="A4" t="s">
        <v>12</v>
      </c>
      <c r="B4" t="s">
        <v>16</v>
      </c>
      <c r="C4">
        <v>0</v>
      </c>
      <c r="D4">
        <v>67</v>
      </c>
      <c r="E4">
        <v>3</v>
      </c>
      <c r="F4">
        <v>1</v>
      </c>
      <c r="G4">
        <v>70</v>
      </c>
      <c r="H4" s="1">
        <f t="shared" si="0"/>
        <v>1.4084507042253521E-2</v>
      </c>
      <c r="I4" s="1">
        <f t="shared" si="1"/>
        <v>2.8714285714285714</v>
      </c>
      <c r="J4" s="1">
        <f t="shared" si="2"/>
        <v>0.95714285714285718</v>
      </c>
      <c r="K4" s="1">
        <f t="shared" si="3"/>
        <v>0.16103984357614576</v>
      </c>
      <c r="L4" s="1">
        <f t="shared" si="4"/>
        <v>0.12233819185997313</v>
      </c>
    </row>
    <row r="5" spans="1:12" x14ac:dyDescent="0.3">
      <c r="A5" t="s">
        <v>12</v>
      </c>
      <c r="B5" t="s">
        <v>17</v>
      </c>
      <c r="C5">
        <v>7</v>
      </c>
      <c r="D5">
        <v>51</v>
      </c>
      <c r="E5">
        <v>12</v>
      </c>
      <c r="F5">
        <v>2</v>
      </c>
      <c r="G5">
        <v>70</v>
      </c>
      <c r="H5" s="1">
        <f t="shared" si="0"/>
        <v>2.7777777777777776E-2</v>
      </c>
      <c r="I5" s="1">
        <f t="shared" si="1"/>
        <v>2.1857142857142855</v>
      </c>
      <c r="J5" s="1">
        <f t="shared" si="2"/>
        <v>0.72857142857142854</v>
      </c>
      <c r="K5" s="1">
        <f t="shared" si="3"/>
        <v>0.69478961757743829</v>
      </c>
      <c r="L5" s="1">
        <f t="shared" si="4"/>
        <v>0.57973091340360583</v>
      </c>
    </row>
    <row r="6" spans="1:12" x14ac:dyDescent="0.3">
      <c r="A6" t="s">
        <v>12</v>
      </c>
      <c r="B6" t="s">
        <v>18</v>
      </c>
      <c r="C6">
        <v>4</v>
      </c>
      <c r="D6">
        <v>59</v>
      </c>
      <c r="E6">
        <v>6</v>
      </c>
      <c r="F6">
        <v>3</v>
      </c>
      <c r="G6">
        <v>69</v>
      </c>
      <c r="H6" s="1">
        <f t="shared" si="0"/>
        <v>4.1666666666666664E-2</v>
      </c>
      <c r="I6" s="1">
        <f t="shared" si="1"/>
        <v>2.5652173913043477</v>
      </c>
      <c r="J6" s="1">
        <f t="shared" si="2"/>
        <v>0.85507246376811596</v>
      </c>
      <c r="K6" s="1">
        <f t="shared" si="3"/>
        <v>0.46544760136722035</v>
      </c>
      <c r="L6" s="1">
        <f t="shared" si="4"/>
        <v>0.36622508255946268</v>
      </c>
    </row>
    <row r="7" spans="1:12" x14ac:dyDescent="0.3">
      <c r="A7" t="s">
        <v>12</v>
      </c>
      <c r="B7" t="s">
        <v>19</v>
      </c>
      <c r="C7">
        <v>13</v>
      </c>
      <c r="D7">
        <v>52</v>
      </c>
      <c r="E7">
        <v>5</v>
      </c>
      <c r="F7">
        <v>3</v>
      </c>
      <c r="G7">
        <v>70</v>
      </c>
      <c r="H7" s="1">
        <f t="shared" si="0"/>
        <v>4.1095890410958902E-2</v>
      </c>
      <c r="I7" s="1">
        <f t="shared" si="1"/>
        <v>2.2285714285714286</v>
      </c>
      <c r="J7" s="1">
        <f t="shared" si="2"/>
        <v>0.74285714285714288</v>
      </c>
      <c r="K7" s="1">
        <f t="shared" si="3"/>
        <v>0.65717272715433916</v>
      </c>
      <c r="L7" s="1">
        <f t="shared" si="4"/>
        <v>0.5485893505783177</v>
      </c>
    </row>
    <row r="8" spans="1:12" x14ac:dyDescent="0.3">
      <c r="A8" t="s">
        <v>13</v>
      </c>
      <c r="B8" t="s">
        <v>20</v>
      </c>
      <c r="C8">
        <v>31</v>
      </c>
      <c r="D8">
        <v>38</v>
      </c>
      <c r="E8">
        <v>0</v>
      </c>
      <c r="F8">
        <v>4</v>
      </c>
      <c r="G8">
        <v>69</v>
      </c>
      <c r="H8" s="1">
        <f t="shared" si="0"/>
        <v>5.4794520547945202E-2</v>
      </c>
      <c r="I8" s="1">
        <f t="shared" si="1"/>
        <v>1.3478260869565217</v>
      </c>
      <c r="J8" s="1">
        <f t="shared" si="2"/>
        <v>0.55072463768115942</v>
      </c>
      <c r="K8" s="1">
        <f t="shared" si="3"/>
        <v>0.62623761480831297</v>
      </c>
      <c r="L8" s="1">
        <f t="shared" si="4"/>
        <v>0.64530778627629215</v>
      </c>
    </row>
    <row r="9" spans="1:12" x14ac:dyDescent="0.3">
      <c r="A9" t="s">
        <v>13</v>
      </c>
      <c r="B9" t="s">
        <v>21</v>
      </c>
      <c r="C9">
        <v>56</v>
      </c>
      <c r="D9">
        <v>2</v>
      </c>
      <c r="E9">
        <v>11</v>
      </c>
      <c r="F9">
        <v>8</v>
      </c>
      <c r="G9">
        <v>69</v>
      </c>
      <c r="H9" s="1">
        <f t="shared" si="0"/>
        <v>0.1038961038961039</v>
      </c>
      <c r="I9" s="1">
        <f t="shared" si="1"/>
        <v>2.4347826086956523</v>
      </c>
      <c r="J9" s="1">
        <f t="shared" si="2"/>
        <v>0.81159420289855078</v>
      </c>
      <c r="K9" s="1">
        <f t="shared" si="3"/>
        <v>0.51409403621080829</v>
      </c>
      <c r="L9" s="1">
        <f t="shared" si="4"/>
        <v>0.42149989998735449</v>
      </c>
    </row>
    <row r="10" spans="1:12" x14ac:dyDescent="0.3">
      <c r="A10" t="s">
        <v>13</v>
      </c>
      <c r="B10" t="s">
        <v>22</v>
      </c>
      <c r="C10">
        <v>53</v>
      </c>
      <c r="D10">
        <v>2</v>
      </c>
      <c r="E10">
        <v>14</v>
      </c>
      <c r="F10">
        <v>5</v>
      </c>
      <c r="G10">
        <v>69</v>
      </c>
      <c r="H10" s="1">
        <f t="shared" si="0"/>
        <v>6.7567567567567571E-2</v>
      </c>
      <c r="I10" s="1">
        <f t="shared" si="1"/>
        <v>2.3043478260869565</v>
      </c>
      <c r="J10" s="1">
        <f t="shared" si="2"/>
        <v>0.76811594202898548</v>
      </c>
      <c r="K10" s="1">
        <f t="shared" si="3"/>
        <v>0.57245842568215333</v>
      </c>
      <c r="L10" s="1">
        <f t="shared" si="4"/>
        <v>0.48260549019190069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2.541821946169772</v>
      </c>
      <c r="J11" s="1">
        <f>IFERROR(AVERAGEIF($A$2:$A$10,"F",$J$2:$J$10),"")</f>
        <v>0.84727398205659077</v>
      </c>
      <c r="K11" s="1">
        <f>IFERROR(AVERAGEIF($A$2:$A$10,"F",$K$2:$K$10),"")</f>
        <v>0.45144308504957692</v>
      </c>
      <c r="L11" s="1">
        <f>IFERROR(AVERAGEIF($A$2:$A$10,"F",$L$2:$L$10),"")</f>
        <v>0.36250146179579162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2.0289855072463769</v>
      </c>
      <c r="J12" s="1">
        <f>IFERROR(AVERAGEIF($A$2:$A$10,"M",$J$2:$J$10),"")</f>
        <v>0.71014492753623193</v>
      </c>
      <c r="K12" s="1">
        <f>IFERROR(AVERAGEIF($A$2:$A$10,"M",$K$2:$K$10),"")</f>
        <v>0.5709300255670916</v>
      </c>
      <c r="L12" s="1">
        <f>IFERROR(AVERAGEIF($A$2:$A$10,"M",$L$2:$L$10),"")</f>
        <v>0.51647105881851585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2025-08-17T13:13:42Z</dcterms:created>
  <dcterms:modified xsi:type="dcterms:W3CDTF">2025-09-09T11:49:43Z</dcterms:modified>
</cp:coreProperties>
</file>