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0FC25196-8DFE-476C-BD61-90F77A650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definedNames>
    <definedName name="_xlnm._FilterDatabase" localSheetId="0" hidden="1">metrics!$A$1:$L$55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L47" i="1" s="1"/>
  <c r="J47" i="1"/>
  <c r="I47" i="1"/>
  <c r="H47" i="1"/>
  <c r="K46" i="1"/>
  <c r="L46" i="1" s="1"/>
  <c r="J46" i="1"/>
  <c r="I46" i="1"/>
  <c r="H46" i="1"/>
  <c r="K45" i="1"/>
  <c r="J45" i="1"/>
  <c r="I45" i="1"/>
  <c r="H45" i="1"/>
  <c r="K44" i="1"/>
  <c r="J44" i="1"/>
  <c r="I44" i="1"/>
  <c r="H44" i="1"/>
  <c r="K43" i="1"/>
  <c r="L43" i="1" s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L37" i="1" s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L32" i="1" s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L28" i="1" s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L23" i="1" s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L11" i="1" s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L7" i="1" s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52" i="1" l="1"/>
  <c r="L51" i="1"/>
  <c r="L18" i="1"/>
  <c r="L36" i="1"/>
  <c r="L6" i="1"/>
  <c r="L42" i="1"/>
  <c r="L3" i="1"/>
  <c r="L53" i="1"/>
  <c r="L50" i="1"/>
  <c r="L49" i="1"/>
  <c r="L48" i="1"/>
  <c r="L45" i="1"/>
  <c r="L44" i="1"/>
  <c r="L41" i="1"/>
  <c r="L40" i="1"/>
  <c r="L39" i="1"/>
  <c r="L38" i="1"/>
  <c r="L35" i="1"/>
  <c r="L34" i="1"/>
  <c r="L33" i="1"/>
  <c r="L31" i="1"/>
  <c r="L30" i="1"/>
  <c r="L27" i="1"/>
  <c r="L55" i="1" s="1"/>
  <c r="L26" i="1"/>
  <c r="L25" i="1"/>
  <c r="L24" i="1"/>
  <c r="L22" i="1"/>
  <c r="L21" i="1"/>
  <c r="L20" i="1"/>
  <c r="L19" i="1"/>
  <c r="L17" i="1"/>
  <c r="L16" i="1"/>
  <c r="L15" i="1"/>
  <c r="L12" i="1"/>
  <c r="L14" i="1"/>
  <c r="L13" i="1"/>
  <c r="L10" i="1"/>
  <c r="L9" i="1"/>
  <c r="L8" i="1"/>
  <c r="L5" i="1"/>
  <c r="L4" i="1"/>
  <c r="L54" i="1" s="1"/>
  <c r="L2" i="1"/>
  <c r="L29" i="1"/>
  <c r="K55" i="1"/>
  <c r="K54" i="1"/>
  <c r="J54" i="1"/>
  <c r="I54" i="1"/>
  <c r="I55" i="1"/>
  <c r="J55" i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<sst xmlns="http://schemas.openxmlformats.org/spreadsheetml/2006/main" count="120" uniqueCount="68">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</sst>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1" workbookViewId="0">
      <selection activeCell="B55" sqref="B55"/>
    </sheetView>
  </sheetViews>
  <sheetFormatPr defaultRowHeight="14.4" x14ac:dyDescent="0.3"/>
  <cols>
    <col min="2" max="2" width="15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49</v>
      </c>
      <c r="D2">
        <v>18</v>
      </c>
      <c r="E2">
        <v>23</v>
      </c>
      <c r="F2">
        <v>1</v>
      </c>
      <c r="G2">
        <v>90</v>
      </c>
      <c r="H2" s="1">
        <f t="shared" ref="H2:H33" si="0">IFERROR(F2/(F2+G2),0)</f>
        <v>1.098901098901099E-2</v>
      </c>
      <c r="I2" s="1">
        <f t="shared" ref="I2:I33" si="1">IF(G2=0,0,IF(A2="F",(D2/G2)*3,IF(A2="M",(C2/G2)*3,0)))</f>
        <v>0.60000000000000009</v>
      </c>
      <c r="J2" s="1">
        <f t="shared" ref="J2:J33" si="2">IF(G2=0,0,MAX(C2/G2,D2/G2,E2/G2))</f>
        <v>0.5444444444444444</v>
      </c>
      <c r="K2" s="1">
        <f t="shared" ref="K2:K33" si="3">IF(G2=0,0, -(IF(C2=0,0,(C2/G2)*LN(C2/G2)) + IF(D2=0,0,(D2/G2)*LN(D2/G2)) + IF(E2=0,0,(E2/G2)*LN(E2/G2)) )/LN(3))</f>
        <v>0.91166139565925275</v>
      </c>
      <c r="L2" s="1">
        <f t="shared" ref="L2:L33" si="4">(K2-J2+1)/(2-1/3)</f>
        <v>0.82033017072888492</v>
      </c>
    </row>
    <row r="3" spans="1:12" x14ac:dyDescent="0.3">
      <c r="A3" t="s">
        <v>12</v>
      </c>
      <c r="B3" t="s">
        <v>15</v>
      </c>
      <c r="C3">
        <v>25</v>
      </c>
      <c r="D3">
        <v>26</v>
      </c>
      <c r="E3">
        <v>39</v>
      </c>
      <c r="F3">
        <v>1</v>
      </c>
      <c r="G3">
        <v>90</v>
      </c>
      <c r="H3" s="1">
        <f t="shared" si="0"/>
        <v>1.098901098901099E-2</v>
      </c>
      <c r="I3" s="1">
        <f t="shared" si="1"/>
        <v>0.86666666666666659</v>
      </c>
      <c r="J3" s="1">
        <f t="shared" si="2"/>
        <v>0.43333333333333335</v>
      </c>
      <c r="K3" s="1">
        <f t="shared" si="3"/>
        <v>0.98024229212843139</v>
      </c>
      <c r="L3" s="1">
        <f t="shared" si="4"/>
        <v>0.92814537527705887</v>
      </c>
    </row>
    <row r="4" spans="1:12" x14ac:dyDescent="0.3">
      <c r="A4" t="s">
        <v>12</v>
      </c>
      <c r="B4" t="s">
        <v>16</v>
      </c>
      <c r="C4">
        <v>26</v>
      </c>
      <c r="D4">
        <v>30</v>
      </c>
      <c r="E4">
        <v>34</v>
      </c>
      <c r="F4">
        <v>2</v>
      </c>
      <c r="G4">
        <v>90</v>
      </c>
      <c r="H4" s="1">
        <f t="shared" si="0"/>
        <v>2.1739130434782608E-2</v>
      </c>
      <c r="I4" s="1">
        <f t="shared" si="1"/>
        <v>1</v>
      </c>
      <c r="J4" s="1">
        <f t="shared" si="2"/>
        <v>0.37777777777777777</v>
      </c>
      <c r="K4" s="1">
        <f t="shared" si="3"/>
        <v>0.99458989276950838</v>
      </c>
      <c r="L4" s="1">
        <f t="shared" si="4"/>
        <v>0.97008726899503839</v>
      </c>
    </row>
    <row r="5" spans="1:12" x14ac:dyDescent="0.3">
      <c r="A5" t="s">
        <v>12</v>
      </c>
      <c r="B5" t="s">
        <v>17</v>
      </c>
      <c r="C5">
        <v>35</v>
      </c>
      <c r="D5">
        <v>24</v>
      </c>
      <c r="E5">
        <v>31</v>
      </c>
      <c r="F5">
        <v>3</v>
      </c>
      <c r="G5">
        <v>90</v>
      </c>
      <c r="H5" s="1">
        <f t="shared" si="0"/>
        <v>3.2258064516129031E-2</v>
      </c>
      <c r="I5" s="1">
        <f t="shared" si="1"/>
        <v>0.8</v>
      </c>
      <c r="J5" s="1">
        <f t="shared" si="2"/>
        <v>0.3888888888888889</v>
      </c>
      <c r="K5" s="1">
        <f t="shared" si="3"/>
        <v>0.98931669342394424</v>
      </c>
      <c r="L5" s="1">
        <f t="shared" si="4"/>
        <v>0.96025668272103315</v>
      </c>
    </row>
    <row r="6" spans="1:12" x14ac:dyDescent="0.3">
      <c r="A6" t="s">
        <v>12</v>
      </c>
      <c r="B6" t="s">
        <v>18</v>
      </c>
      <c r="C6">
        <v>43</v>
      </c>
      <c r="D6">
        <v>24</v>
      </c>
      <c r="E6">
        <v>23</v>
      </c>
      <c r="F6">
        <v>3</v>
      </c>
      <c r="G6">
        <v>90</v>
      </c>
      <c r="H6" s="1">
        <f t="shared" si="0"/>
        <v>3.2258064516129031E-2</v>
      </c>
      <c r="I6" s="1">
        <f t="shared" si="1"/>
        <v>0.8</v>
      </c>
      <c r="J6" s="1">
        <f t="shared" si="2"/>
        <v>0.4777777777777778</v>
      </c>
      <c r="K6" s="1">
        <f t="shared" si="3"/>
        <v>0.95940839223214669</v>
      </c>
      <c r="L6" s="1">
        <f t="shared" si="4"/>
        <v>0.88897836867262137</v>
      </c>
    </row>
    <row r="7" spans="1:12" x14ac:dyDescent="0.3">
      <c r="A7" t="s">
        <v>12</v>
      </c>
      <c r="B7" t="s">
        <v>19</v>
      </c>
      <c r="C7">
        <v>24</v>
      </c>
      <c r="D7">
        <v>76</v>
      </c>
      <c r="E7">
        <v>80</v>
      </c>
      <c r="F7">
        <v>1</v>
      </c>
      <c r="G7">
        <v>179</v>
      </c>
      <c r="H7" s="1">
        <f t="shared" si="0"/>
        <v>5.5555555555555558E-3</v>
      </c>
      <c r="I7" s="1">
        <f t="shared" si="1"/>
        <v>1.2737430167597765</v>
      </c>
      <c r="J7" s="1">
        <f t="shared" si="2"/>
        <v>0.44692737430167595</v>
      </c>
      <c r="K7" s="1">
        <f t="shared" si="3"/>
        <v>0.90392495552627095</v>
      </c>
      <c r="L7" s="1">
        <f t="shared" si="4"/>
        <v>0.874198548734757</v>
      </c>
    </row>
    <row r="8" spans="1:12" x14ac:dyDescent="0.3">
      <c r="A8" t="s">
        <v>12</v>
      </c>
      <c r="B8" t="s">
        <v>20</v>
      </c>
      <c r="C8">
        <v>11</v>
      </c>
      <c r="D8">
        <v>43</v>
      </c>
      <c r="E8">
        <v>36</v>
      </c>
      <c r="F8">
        <v>2</v>
      </c>
      <c r="G8">
        <v>88</v>
      </c>
      <c r="H8" s="1">
        <f t="shared" si="0"/>
        <v>2.2222222222222223E-2</v>
      </c>
      <c r="I8" s="1">
        <f t="shared" si="1"/>
        <v>1.4659090909090908</v>
      </c>
      <c r="J8" s="1">
        <f t="shared" si="2"/>
        <v>0.48863636363636365</v>
      </c>
      <c r="K8" s="1">
        <f t="shared" si="3"/>
        <v>0.88795055598449135</v>
      </c>
      <c r="L8" s="1">
        <f t="shared" si="4"/>
        <v>0.83958851540887647</v>
      </c>
    </row>
    <row r="9" spans="1:12" x14ac:dyDescent="0.3">
      <c r="A9" t="s">
        <v>12</v>
      </c>
      <c r="B9" t="s">
        <v>21</v>
      </c>
      <c r="C9">
        <v>38</v>
      </c>
      <c r="D9">
        <v>19</v>
      </c>
      <c r="E9">
        <v>30</v>
      </c>
      <c r="F9">
        <v>6</v>
      </c>
      <c r="G9">
        <v>87</v>
      </c>
      <c r="H9" s="1">
        <f t="shared" si="0"/>
        <v>6.4516129032258063E-2</v>
      </c>
      <c r="I9" s="1">
        <f t="shared" si="1"/>
        <v>0.65517241379310343</v>
      </c>
      <c r="J9" s="1">
        <f t="shared" si="2"/>
        <v>0.43678160919540232</v>
      </c>
      <c r="K9" s="1">
        <f t="shared" si="3"/>
        <v>0.96595706427801531</v>
      </c>
      <c r="L9" s="1">
        <f t="shared" si="4"/>
        <v>0.91750527304956764</v>
      </c>
    </row>
    <row r="10" spans="1:12" x14ac:dyDescent="0.3">
      <c r="A10" t="s">
        <v>12</v>
      </c>
      <c r="B10" t="s">
        <v>22</v>
      </c>
      <c r="C10">
        <v>19</v>
      </c>
      <c r="D10">
        <v>43</v>
      </c>
      <c r="E10">
        <v>28</v>
      </c>
      <c r="F10">
        <v>3</v>
      </c>
      <c r="G10">
        <v>90</v>
      </c>
      <c r="H10" s="1">
        <f t="shared" si="0"/>
        <v>3.2258064516129031E-2</v>
      </c>
      <c r="I10" s="1">
        <f t="shared" si="1"/>
        <v>1.4333333333333333</v>
      </c>
      <c r="J10" s="1">
        <f t="shared" si="2"/>
        <v>0.4777777777777778</v>
      </c>
      <c r="K10" s="1">
        <f t="shared" si="3"/>
        <v>0.95074687944935365</v>
      </c>
      <c r="L10" s="1">
        <f t="shared" si="4"/>
        <v>0.88378146100294541</v>
      </c>
    </row>
    <row r="11" spans="1:12" x14ac:dyDescent="0.3">
      <c r="A11" t="s">
        <v>12</v>
      </c>
      <c r="B11" t="s">
        <v>23</v>
      </c>
      <c r="C11">
        <v>24</v>
      </c>
      <c r="D11">
        <v>31</v>
      </c>
      <c r="E11">
        <v>35</v>
      </c>
      <c r="F11">
        <v>0</v>
      </c>
      <c r="G11">
        <v>90</v>
      </c>
      <c r="H11" s="1">
        <f t="shared" si="0"/>
        <v>0</v>
      </c>
      <c r="I11" s="1">
        <f t="shared" si="1"/>
        <v>1.0333333333333332</v>
      </c>
      <c r="J11" s="1">
        <f t="shared" si="2"/>
        <v>0.3888888888888889</v>
      </c>
      <c r="K11" s="1">
        <f t="shared" si="3"/>
        <v>0.98931669342394424</v>
      </c>
      <c r="L11" s="1">
        <f t="shared" si="4"/>
        <v>0.96025668272103315</v>
      </c>
    </row>
    <row r="12" spans="1:12" x14ac:dyDescent="0.3">
      <c r="A12" t="s">
        <v>12</v>
      </c>
      <c r="B12" t="s">
        <v>24</v>
      </c>
      <c r="C12">
        <v>13</v>
      </c>
      <c r="D12">
        <v>43</v>
      </c>
      <c r="E12">
        <v>34</v>
      </c>
      <c r="F12">
        <v>1</v>
      </c>
      <c r="G12">
        <v>90</v>
      </c>
      <c r="H12" s="1">
        <f t="shared" si="0"/>
        <v>1.098901098901099E-2</v>
      </c>
      <c r="I12" s="1">
        <f t="shared" si="1"/>
        <v>1.4333333333333333</v>
      </c>
      <c r="J12" s="1">
        <f t="shared" si="2"/>
        <v>0.4777777777777778</v>
      </c>
      <c r="K12" s="1">
        <f t="shared" si="3"/>
        <v>0.91034709878379205</v>
      </c>
      <c r="L12" s="1">
        <f t="shared" si="4"/>
        <v>0.85954159260360852</v>
      </c>
    </row>
    <row r="13" spans="1:12" x14ac:dyDescent="0.3">
      <c r="A13" t="s">
        <v>12</v>
      </c>
      <c r="B13" t="s">
        <v>25</v>
      </c>
      <c r="C13">
        <v>27</v>
      </c>
      <c r="D13">
        <v>27</v>
      </c>
      <c r="E13">
        <v>36</v>
      </c>
      <c r="F13">
        <v>1</v>
      </c>
      <c r="G13">
        <v>90</v>
      </c>
      <c r="H13" s="1">
        <f t="shared" si="0"/>
        <v>1.098901098901099E-2</v>
      </c>
      <c r="I13" s="1">
        <f t="shared" si="1"/>
        <v>0.89999999999999991</v>
      </c>
      <c r="J13" s="1">
        <f t="shared" si="2"/>
        <v>0.4</v>
      </c>
      <c r="K13" s="1">
        <f t="shared" si="3"/>
        <v>0.99115947143221872</v>
      </c>
      <c r="L13" s="1">
        <f t="shared" si="4"/>
        <v>0.95469568285933126</v>
      </c>
    </row>
    <row r="14" spans="1:12" x14ac:dyDescent="0.3">
      <c r="A14" t="s">
        <v>12</v>
      </c>
      <c r="B14" t="s">
        <v>26</v>
      </c>
      <c r="C14">
        <v>15</v>
      </c>
      <c r="D14">
        <v>49</v>
      </c>
      <c r="E14">
        <v>26</v>
      </c>
      <c r="F14">
        <v>1</v>
      </c>
      <c r="G14">
        <v>90</v>
      </c>
      <c r="H14" s="1">
        <f t="shared" si="0"/>
        <v>1.098901098901099E-2</v>
      </c>
      <c r="I14" s="1">
        <f t="shared" si="1"/>
        <v>1.6333333333333333</v>
      </c>
      <c r="J14" s="1">
        <f t="shared" si="2"/>
        <v>0.5444444444444444</v>
      </c>
      <c r="K14" s="1">
        <f t="shared" si="3"/>
        <v>0.89964417064784252</v>
      </c>
      <c r="L14" s="1">
        <f t="shared" si="4"/>
        <v>0.81311983572203883</v>
      </c>
    </row>
    <row r="15" spans="1:12" x14ac:dyDescent="0.3">
      <c r="A15" t="s">
        <v>12</v>
      </c>
      <c r="B15" t="s">
        <v>27</v>
      </c>
      <c r="C15">
        <v>4</v>
      </c>
      <c r="D15">
        <v>57</v>
      </c>
      <c r="E15">
        <v>29</v>
      </c>
      <c r="F15">
        <v>3</v>
      </c>
      <c r="G15">
        <v>90</v>
      </c>
      <c r="H15" s="1">
        <f t="shared" si="0"/>
        <v>3.2258064516129031E-2</v>
      </c>
      <c r="I15" s="1">
        <f t="shared" si="1"/>
        <v>1.9</v>
      </c>
      <c r="J15" s="1">
        <f t="shared" si="2"/>
        <v>0.6333333333333333</v>
      </c>
      <c r="K15" s="1">
        <f t="shared" si="3"/>
        <v>0.72143732076911482</v>
      </c>
      <c r="L15" s="1">
        <f t="shared" si="4"/>
        <v>0.65286239246146882</v>
      </c>
    </row>
    <row r="16" spans="1:12" x14ac:dyDescent="0.3">
      <c r="A16" t="s">
        <v>12</v>
      </c>
      <c r="B16" t="s">
        <v>28</v>
      </c>
      <c r="C16">
        <v>7</v>
      </c>
      <c r="D16">
        <v>53</v>
      </c>
      <c r="E16">
        <v>30</v>
      </c>
      <c r="F16">
        <v>3</v>
      </c>
      <c r="G16">
        <v>90</v>
      </c>
      <c r="H16" s="1">
        <f t="shared" si="0"/>
        <v>3.2258064516129031E-2</v>
      </c>
      <c r="I16" s="1">
        <f t="shared" si="1"/>
        <v>1.7666666666666666</v>
      </c>
      <c r="J16" s="1">
        <f t="shared" si="2"/>
        <v>0.58888888888888891</v>
      </c>
      <c r="K16" s="1">
        <f t="shared" si="3"/>
        <v>0.79797746496540234</v>
      </c>
      <c r="L16" s="1">
        <f t="shared" si="4"/>
        <v>0.72545314564590813</v>
      </c>
    </row>
    <row r="17" spans="1:12" x14ac:dyDescent="0.3">
      <c r="A17" t="s">
        <v>12</v>
      </c>
      <c r="B17" t="s">
        <v>29</v>
      </c>
      <c r="C17">
        <v>7</v>
      </c>
      <c r="D17">
        <v>54</v>
      </c>
      <c r="E17">
        <v>26</v>
      </c>
      <c r="F17">
        <v>5</v>
      </c>
      <c r="G17">
        <v>89</v>
      </c>
      <c r="H17" s="1">
        <f t="shared" si="0"/>
        <v>5.3191489361702128E-2</v>
      </c>
      <c r="I17" s="1">
        <f t="shared" si="1"/>
        <v>1.8202247191011236</v>
      </c>
      <c r="J17" s="1">
        <f t="shared" si="2"/>
        <v>0.6067415730337079</v>
      </c>
      <c r="K17" s="1">
        <f t="shared" si="3"/>
        <v>0.78520247271848997</v>
      </c>
      <c r="L17" s="1">
        <f t="shared" si="4"/>
        <v>0.70707653981086926</v>
      </c>
    </row>
    <row r="18" spans="1:12" x14ac:dyDescent="0.3">
      <c r="A18" t="s">
        <v>12</v>
      </c>
      <c r="B18" t="s">
        <v>30</v>
      </c>
      <c r="C18">
        <v>14</v>
      </c>
      <c r="D18">
        <v>49</v>
      </c>
      <c r="E18">
        <v>26</v>
      </c>
      <c r="F18">
        <v>3</v>
      </c>
      <c r="G18">
        <v>89</v>
      </c>
      <c r="H18" s="1">
        <f t="shared" si="0"/>
        <v>3.2608695652173912E-2</v>
      </c>
      <c r="I18" s="1">
        <f t="shared" si="1"/>
        <v>1.651685393258427</v>
      </c>
      <c r="J18" s="1">
        <f t="shared" si="2"/>
        <v>0.550561797752809</v>
      </c>
      <c r="K18" s="1">
        <f t="shared" si="3"/>
        <v>0.89113575672407552</v>
      </c>
      <c r="L18" s="1">
        <f t="shared" si="4"/>
        <v>0.80434437538275982</v>
      </c>
    </row>
    <row r="19" spans="1:12" x14ac:dyDescent="0.3">
      <c r="A19" t="s">
        <v>12</v>
      </c>
      <c r="B19" t="s">
        <v>31</v>
      </c>
      <c r="C19">
        <v>29</v>
      </c>
      <c r="D19">
        <v>32</v>
      </c>
      <c r="E19">
        <v>29</v>
      </c>
      <c r="F19">
        <v>2</v>
      </c>
      <c r="G19">
        <v>90</v>
      </c>
      <c r="H19" s="1">
        <f t="shared" si="0"/>
        <v>2.1739130434782608E-2</v>
      </c>
      <c r="I19" s="1">
        <f t="shared" si="1"/>
        <v>1.0666666666666667</v>
      </c>
      <c r="J19" s="1">
        <f t="shared" si="2"/>
        <v>0.35555555555555557</v>
      </c>
      <c r="K19" s="1">
        <f t="shared" si="3"/>
        <v>0.99899931657992203</v>
      </c>
      <c r="L19" s="1">
        <f t="shared" si="4"/>
        <v>0.98606625661461977</v>
      </c>
    </row>
    <row r="20" spans="1:12" x14ac:dyDescent="0.3">
      <c r="A20" t="s">
        <v>12</v>
      </c>
      <c r="B20" t="s">
        <v>32</v>
      </c>
      <c r="C20">
        <v>5</v>
      </c>
      <c r="D20">
        <v>67</v>
      </c>
      <c r="E20">
        <v>16</v>
      </c>
      <c r="F20">
        <v>3</v>
      </c>
      <c r="G20">
        <v>88</v>
      </c>
      <c r="H20" s="1">
        <f t="shared" si="0"/>
        <v>3.2967032967032968E-2</v>
      </c>
      <c r="I20" s="1">
        <f t="shared" si="1"/>
        <v>2.2840909090909092</v>
      </c>
      <c r="J20" s="1">
        <f t="shared" si="2"/>
        <v>0.76136363636363635</v>
      </c>
      <c r="K20" s="1">
        <f t="shared" si="3"/>
        <v>0.61940357181999695</v>
      </c>
      <c r="L20" s="1">
        <f t="shared" si="4"/>
        <v>0.51482396127381636</v>
      </c>
    </row>
    <row r="21" spans="1:12" x14ac:dyDescent="0.3">
      <c r="A21" t="s">
        <v>12</v>
      </c>
      <c r="B21" t="s">
        <v>33</v>
      </c>
      <c r="C21">
        <v>7</v>
      </c>
      <c r="D21">
        <v>65</v>
      </c>
      <c r="E21">
        <v>18</v>
      </c>
      <c r="F21">
        <v>5</v>
      </c>
      <c r="G21">
        <v>90</v>
      </c>
      <c r="H21" s="1">
        <f t="shared" si="0"/>
        <v>5.2631578947368418E-2</v>
      </c>
      <c r="I21" s="1">
        <f t="shared" si="1"/>
        <v>2.1666666666666665</v>
      </c>
      <c r="J21" s="1">
        <f t="shared" si="2"/>
        <v>0.72222222222222221</v>
      </c>
      <c r="K21" s="1">
        <f t="shared" si="3"/>
        <v>0.68773261405812924</v>
      </c>
      <c r="L21" s="1">
        <f t="shared" si="4"/>
        <v>0.57930623510154422</v>
      </c>
    </row>
    <row r="22" spans="1:12" x14ac:dyDescent="0.3">
      <c r="A22" t="s">
        <v>12</v>
      </c>
      <c r="B22" t="s">
        <v>34</v>
      </c>
      <c r="C22">
        <v>6</v>
      </c>
      <c r="D22">
        <v>58</v>
      </c>
      <c r="E22">
        <v>26</v>
      </c>
      <c r="F22">
        <v>1</v>
      </c>
      <c r="G22">
        <v>90</v>
      </c>
      <c r="H22" s="1">
        <f t="shared" si="0"/>
        <v>1.098901098901099E-2</v>
      </c>
      <c r="I22" s="1">
        <f t="shared" si="1"/>
        <v>1.9333333333333336</v>
      </c>
      <c r="J22" s="1">
        <f t="shared" si="2"/>
        <v>0.64444444444444449</v>
      </c>
      <c r="K22" s="1">
        <f t="shared" si="3"/>
        <v>0.7485818415100266</v>
      </c>
      <c r="L22" s="1">
        <f t="shared" si="4"/>
        <v>0.66248243823934927</v>
      </c>
    </row>
    <row r="23" spans="1:12" x14ac:dyDescent="0.3">
      <c r="A23" t="s">
        <v>12</v>
      </c>
      <c r="B23" t="s">
        <v>35</v>
      </c>
      <c r="C23">
        <v>55</v>
      </c>
      <c r="D23">
        <v>16</v>
      </c>
      <c r="E23">
        <v>19</v>
      </c>
      <c r="F23">
        <v>0</v>
      </c>
      <c r="G23">
        <v>90</v>
      </c>
      <c r="H23" s="1">
        <f t="shared" si="0"/>
        <v>0</v>
      </c>
      <c r="I23" s="1">
        <f t="shared" si="1"/>
        <v>0.53333333333333333</v>
      </c>
      <c r="J23" s="1">
        <f t="shared" si="2"/>
        <v>0.61111111111111116</v>
      </c>
      <c r="K23" s="1">
        <f t="shared" si="3"/>
        <v>0.85232560963196236</v>
      </c>
      <c r="L23" s="1">
        <f t="shared" si="4"/>
        <v>0.74472869911251061</v>
      </c>
    </row>
    <row r="24" spans="1:12" x14ac:dyDescent="0.3">
      <c r="A24" t="s">
        <v>12</v>
      </c>
      <c r="B24" t="s">
        <v>36</v>
      </c>
      <c r="C24">
        <v>44</v>
      </c>
      <c r="D24">
        <v>100</v>
      </c>
      <c r="E24">
        <v>35</v>
      </c>
      <c r="F24">
        <v>5</v>
      </c>
      <c r="G24">
        <v>179</v>
      </c>
      <c r="H24" s="1">
        <f t="shared" si="0"/>
        <v>2.717391304347826E-2</v>
      </c>
      <c r="I24" s="1">
        <f t="shared" si="1"/>
        <v>1.6759776536312847</v>
      </c>
      <c r="J24" s="1">
        <f t="shared" si="2"/>
        <v>0.55865921787709494</v>
      </c>
      <c r="K24" s="1">
        <f t="shared" si="3"/>
        <v>0.90049363899344148</v>
      </c>
      <c r="L24" s="1">
        <f t="shared" si="4"/>
        <v>0.8051006526698079</v>
      </c>
    </row>
    <row r="25" spans="1:12" x14ac:dyDescent="0.3">
      <c r="A25" t="s">
        <v>12</v>
      </c>
      <c r="B25" t="s">
        <v>37</v>
      </c>
      <c r="C25">
        <v>22</v>
      </c>
      <c r="D25">
        <v>47</v>
      </c>
      <c r="E25">
        <v>19</v>
      </c>
      <c r="F25">
        <v>10</v>
      </c>
      <c r="G25">
        <v>90</v>
      </c>
      <c r="H25" s="1">
        <f t="shared" si="0"/>
        <v>0.1</v>
      </c>
      <c r="I25" s="1">
        <f t="shared" si="1"/>
        <v>1.5666666666666669</v>
      </c>
      <c r="J25" s="1">
        <f t="shared" si="2"/>
        <v>0.52222222222222225</v>
      </c>
      <c r="K25" s="1">
        <f t="shared" si="3"/>
        <v>0.92115237933548866</v>
      </c>
      <c r="L25" s="1">
        <f t="shared" si="4"/>
        <v>0.83935809426795982</v>
      </c>
    </row>
    <row r="26" spans="1:12" x14ac:dyDescent="0.3">
      <c r="A26" t="s">
        <v>12</v>
      </c>
      <c r="B26" t="s">
        <v>38</v>
      </c>
      <c r="C26">
        <v>27</v>
      </c>
      <c r="D26">
        <v>28</v>
      </c>
      <c r="E26">
        <v>34</v>
      </c>
      <c r="F26">
        <v>4</v>
      </c>
      <c r="G26">
        <v>89</v>
      </c>
      <c r="H26" s="1">
        <f t="shared" si="0"/>
        <v>4.3010752688172046E-2</v>
      </c>
      <c r="I26" s="1">
        <f t="shared" si="1"/>
        <v>0.9438202247191011</v>
      </c>
      <c r="J26" s="1">
        <f t="shared" si="2"/>
        <v>0.38202247191011235</v>
      </c>
      <c r="K26" s="1">
        <f t="shared" si="3"/>
        <v>0.99515797436173814</v>
      </c>
      <c r="L26" s="1">
        <f t="shared" si="4"/>
        <v>0.96788130147097551</v>
      </c>
    </row>
    <row r="27" spans="1:12" x14ac:dyDescent="0.3">
      <c r="A27" t="s">
        <v>13</v>
      </c>
      <c r="B27" t="s">
        <v>39</v>
      </c>
      <c r="C27">
        <v>47</v>
      </c>
      <c r="D27">
        <v>16</v>
      </c>
      <c r="E27">
        <v>27</v>
      </c>
      <c r="F27">
        <v>2</v>
      </c>
      <c r="G27">
        <v>90</v>
      </c>
      <c r="H27" s="1">
        <f t="shared" si="0"/>
        <v>2.1739130434782608E-2</v>
      </c>
      <c r="I27" s="1">
        <f t="shared" si="1"/>
        <v>1.5666666666666669</v>
      </c>
      <c r="J27" s="1">
        <f t="shared" si="2"/>
        <v>0.52222222222222225</v>
      </c>
      <c r="K27" s="1">
        <f t="shared" si="3"/>
        <v>0.91708542016248573</v>
      </c>
      <c r="L27" s="1">
        <f t="shared" si="4"/>
        <v>0.836917918764158</v>
      </c>
    </row>
    <row r="28" spans="1:12" x14ac:dyDescent="0.3">
      <c r="A28" t="s">
        <v>13</v>
      </c>
      <c r="B28" t="s">
        <v>40</v>
      </c>
      <c r="C28">
        <v>25</v>
      </c>
      <c r="D28">
        <v>13</v>
      </c>
      <c r="E28">
        <v>50</v>
      </c>
      <c r="F28">
        <v>2</v>
      </c>
      <c r="G28">
        <v>88</v>
      </c>
      <c r="H28" s="1">
        <f t="shared" si="0"/>
        <v>2.2222222222222223E-2</v>
      </c>
      <c r="I28" s="1">
        <f t="shared" si="1"/>
        <v>0.85227272727272729</v>
      </c>
      <c r="J28" s="1">
        <f t="shared" si="2"/>
        <v>0.56818181818181823</v>
      </c>
      <c r="K28" s="1">
        <f t="shared" si="3"/>
        <v>0.87494937731978017</v>
      </c>
      <c r="L28" s="1">
        <f t="shared" si="4"/>
        <v>0.7840605354827771</v>
      </c>
    </row>
    <row r="29" spans="1:12" x14ac:dyDescent="0.3">
      <c r="A29" t="s">
        <v>13</v>
      </c>
      <c r="B29" t="s">
        <v>41</v>
      </c>
      <c r="C29">
        <v>28</v>
      </c>
      <c r="D29">
        <v>24</v>
      </c>
      <c r="E29">
        <v>38</v>
      </c>
      <c r="F29">
        <v>0</v>
      </c>
      <c r="G29">
        <v>90</v>
      </c>
      <c r="H29" s="1">
        <f t="shared" si="0"/>
        <v>0</v>
      </c>
      <c r="I29" s="1">
        <f t="shared" si="1"/>
        <v>0.93333333333333335</v>
      </c>
      <c r="J29" s="1">
        <f t="shared" si="2"/>
        <v>0.42222222222222222</v>
      </c>
      <c r="K29" s="1">
        <f t="shared" si="3"/>
        <v>0.9828518218366733</v>
      </c>
      <c r="L29" s="1">
        <f t="shared" si="4"/>
        <v>0.93637775976867055</v>
      </c>
    </row>
    <row r="30" spans="1:12" x14ac:dyDescent="0.3">
      <c r="A30" t="s">
        <v>13</v>
      </c>
      <c r="B30" t="s">
        <v>42</v>
      </c>
      <c r="C30">
        <v>64</v>
      </c>
      <c r="D30">
        <v>3</v>
      </c>
      <c r="E30">
        <v>23</v>
      </c>
      <c r="F30">
        <v>1</v>
      </c>
      <c r="G30">
        <v>90</v>
      </c>
      <c r="H30" s="1">
        <f t="shared" si="0"/>
        <v>1.098901098901099E-2</v>
      </c>
      <c r="I30" s="1">
        <f t="shared" si="1"/>
        <v>2.1333333333333333</v>
      </c>
      <c r="J30" s="1">
        <f t="shared" si="2"/>
        <v>0.71111111111111114</v>
      </c>
      <c r="K30" s="1">
        <f t="shared" si="3"/>
        <v>0.64123470244443015</v>
      </c>
      <c r="L30" s="1">
        <f t="shared" si="4"/>
        <v>0.55807415479999134</v>
      </c>
    </row>
    <row r="31" spans="1:12" x14ac:dyDescent="0.3">
      <c r="A31" t="s">
        <v>13</v>
      </c>
      <c r="B31" t="s">
        <v>43</v>
      </c>
      <c r="C31">
        <v>57</v>
      </c>
      <c r="D31">
        <v>13</v>
      </c>
      <c r="E31">
        <v>20</v>
      </c>
      <c r="F31">
        <v>3</v>
      </c>
      <c r="G31">
        <v>90</v>
      </c>
      <c r="H31" s="1">
        <f t="shared" si="0"/>
        <v>3.2258064516129031E-2</v>
      </c>
      <c r="I31" s="1">
        <f t="shared" si="1"/>
        <v>1.9</v>
      </c>
      <c r="J31" s="1">
        <f t="shared" si="2"/>
        <v>0.6333333333333333</v>
      </c>
      <c r="K31" s="1">
        <f t="shared" si="3"/>
        <v>0.82194562665153392</v>
      </c>
      <c r="L31" s="1">
        <f t="shared" si="4"/>
        <v>0.71316737599092039</v>
      </c>
    </row>
    <row r="32" spans="1:12" x14ac:dyDescent="0.3">
      <c r="A32" t="s">
        <v>13</v>
      </c>
      <c r="B32" t="s">
        <v>44</v>
      </c>
      <c r="C32">
        <v>67</v>
      </c>
      <c r="D32">
        <v>2</v>
      </c>
      <c r="E32">
        <v>21</v>
      </c>
      <c r="F32">
        <v>0</v>
      </c>
      <c r="G32">
        <v>90</v>
      </c>
      <c r="H32" s="1">
        <f t="shared" si="0"/>
        <v>0</v>
      </c>
      <c r="I32" s="1">
        <f t="shared" si="1"/>
        <v>2.2333333333333334</v>
      </c>
      <c r="J32" s="1">
        <f t="shared" si="2"/>
        <v>0.74444444444444446</v>
      </c>
      <c r="K32" s="1">
        <f t="shared" si="3"/>
        <v>0.58606459839206171</v>
      </c>
      <c r="L32" s="1">
        <f t="shared" si="4"/>
        <v>0.50497209236857032</v>
      </c>
    </row>
    <row r="33" spans="1:12" x14ac:dyDescent="0.3">
      <c r="A33" t="s">
        <v>13</v>
      </c>
      <c r="B33" t="s">
        <v>45</v>
      </c>
      <c r="C33">
        <v>44</v>
      </c>
      <c r="D33">
        <v>13</v>
      </c>
      <c r="E33">
        <v>31</v>
      </c>
      <c r="F33">
        <v>3</v>
      </c>
      <c r="G33">
        <v>88</v>
      </c>
      <c r="H33" s="1">
        <f t="shared" si="0"/>
        <v>3.2967032967032968E-2</v>
      </c>
      <c r="I33" s="1">
        <f t="shared" si="1"/>
        <v>1.5</v>
      </c>
      <c r="J33" s="1">
        <f t="shared" si="2"/>
        <v>0.5</v>
      </c>
      <c r="K33" s="1">
        <f t="shared" si="3"/>
        <v>0.90717079773641829</v>
      </c>
      <c r="L33" s="1">
        <f t="shared" si="4"/>
        <v>0.84430247864185093</v>
      </c>
    </row>
    <row r="34" spans="1:12" x14ac:dyDescent="0.3">
      <c r="A34" t="s">
        <v>13</v>
      </c>
      <c r="B34" t="s">
        <v>46</v>
      </c>
      <c r="C34">
        <v>55</v>
      </c>
      <c r="D34">
        <v>6</v>
      </c>
      <c r="E34">
        <v>29</v>
      </c>
      <c r="F34">
        <v>1</v>
      </c>
      <c r="G34">
        <v>90</v>
      </c>
      <c r="H34" s="1">
        <f t="shared" ref="H34:H53" si="5">IFERROR(F34/(F34+G34),0)</f>
        <v>1.098901098901099E-2</v>
      </c>
      <c r="I34" s="1">
        <f t="shared" ref="I34:I53" si="6">IF(G34=0,0,IF(A34="F",(D34/G34)*3,IF(A34="M",(C34/G34)*3,0)))</f>
        <v>1.8333333333333335</v>
      </c>
      <c r="J34" s="1">
        <f t="shared" ref="J34:J53" si="7">IF(G34=0,0,MAX(C34/G34,D34/G34,E34/G34))</f>
        <v>0.61111111111111116</v>
      </c>
      <c r="K34" s="1">
        <f t="shared" ref="K34:K53" si="8">IF(G34=0,0, -(IF(C34=0,0,(C34/G34)*LN(C34/G34)) + IF(D34=0,0,(D34/G34)*LN(D34/G34)) + IF(E34=0,0,(E34/G34)*LN(E34/G34)) )/LN(3))</f>
        <v>0.77044073431658944</v>
      </c>
      <c r="L34" s="1">
        <f t="shared" ref="L34:L53" si="9">(K34-J34+1)/(2-1/3)</f>
        <v>0.69559777392328703</v>
      </c>
    </row>
    <row r="35" spans="1:12" x14ac:dyDescent="0.3">
      <c r="A35" t="s">
        <v>13</v>
      </c>
      <c r="B35" t="s">
        <v>47</v>
      </c>
      <c r="C35">
        <v>63</v>
      </c>
      <c r="D35">
        <v>2</v>
      </c>
      <c r="E35">
        <v>25</v>
      </c>
      <c r="F35">
        <v>1</v>
      </c>
      <c r="G35">
        <v>90</v>
      </c>
      <c r="H35" s="1">
        <f t="shared" si="5"/>
        <v>1.098901098901099E-2</v>
      </c>
      <c r="I35" s="1">
        <f t="shared" si="6"/>
        <v>2.0999999999999996</v>
      </c>
      <c r="J35" s="1">
        <f t="shared" si="7"/>
        <v>0.7</v>
      </c>
      <c r="K35" s="1">
        <f t="shared" si="8"/>
        <v>0.62813781050928597</v>
      </c>
      <c r="L35" s="1">
        <f t="shared" si="9"/>
        <v>0.55688268630557158</v>
      </c>
    </row>
    <row r="36" spans="1:12" x14ac:dyDescent="0.3">
      <c r="A36" t="s">
        <v>13</v>
      </c>
      <c r="B36" t="s">
        <v>48</v>
      </c>
      <c r="C36">
        <v>52</v>
      </c>
      <c r="D36">
        <v>11</v>
      </c>
      <c r="E36">
        <v>27</v>
      </c>
      <c r="F36">
        <v>0</v>
      </c>
      <c r="G36">
        <v>90</v>
      </c>
      <c r="H36" s="1">
        <f t="shared" si="5"/>
        <v>0</v>
      </c>
      <c r="I36" s="1">
        <f t="shared" si="6"/>
        <v>1.7333333333333332</v>
      </c>
      <c r="J36" s="1">
        <f t="shared" si="7"/>
        <v>0.57777777777777772</v>
      </c>
      <c r="K36" s="1">
        <f t="shared" si="8"/>
        <v>0.85111163974380333</v>
      </c>
      <c r="L36" s="1">
        <f t="shared" si="9"/>
        <v>0.76400031717961536</v>
      </c>
    </row>
    <row r="37" spans="1:12" x14ac:dyDescent="0.3">
      <c r="A37" t="s">
        <v>13</v>
      </c>
      <c r="B37" t="s">
        <v>49</v>
      </c>
      <c r="C37">
        <v>42</v>
      </c>
      <c r="D37">
        <v>22</v>
      </c>
      <c r="E37">
        <v>26</v>
      </c>
      <c r="F37">
        <v>0</v>
      </c>
      <c r="G37">
        <v>90</v>
      </c>
      <c r="H37" s="1">
        <f t="shared" si="5"/>
        <v>0</v>
      </c>
      <c r="I37" s="1">
        <f t="shared" si="6"/>
        <v>1.4</v>
      </c>
      <c r="J37" s="1">
        <f t="shared" si="7"/>
        <v>0.46666666666666667</v>
      </c>
      <c r="K37" s="1">
        <f t="shared" si="8"/>
        <v>0.96371378270411168</v>
      </c>
      <c r="L37" s="1">
        <f t="shared" si="9"/>
        <v>0.89822826962246693</v>
      </c>
    </row>
    <row r="38" spans="1:12" x14ac:dyDescent="0.3">
      <c r="A38" t="s">
        <v>13</v>
      </c>
      <c r="B38" t="s">
        <v>50</v>
      </c>
      <c r="C38">
        <v>63</v>
      </c>
      <c r="D38">
        <v>9</v>
      </c>
      <c r="E38">
        <v>18</v>
      </c>
      <c r="F38">
        <v>5</v>
      </c>
      <c r="G38">
        <v>90</v>
      </c>
      <c r="H38" s="1">
        <f t="shared" si="5"/>
        <v>5.2631578947368418E-2</v>
      </c>
      <c r="I38" s="1">
        <f t="shared" si="6"/>
        <v>2.0999999999999996</v>
      </c>
      <c r="J38" s="1">
        <f t="shared" si="7"/>
        <v>0.7</v>
      </c>
      <c r="K38" s="1">
        <f t="shared" si="8"/>
        <v>0.72984669916209755</v>
      </c>
      <c r="L38" s="1">
        <f t="shared" si="9"/>
        <v>0.61790801949725849</v>
      </c>
    </row>
    <row r="39" spans="1:12" x14ac:dyDescent="0.3">
      <c r="A39" t="s">
        <v>13</v>
      </c>
      <c r="B39" t="s">
        <v>51</v>
      </c>
      <c r="C39">
        <v>53</v>
      </c>
      <c r="D39">
        <v>9</v>
      </c>
      <c r="E39">
        <v>28</v>
      </c>
      <c r="F39">
        <v>1</v>
      </c>
      <c r="G39">
        <v>90</v>
      </c>
      <c r="H39" s="1">
        <f t="shared" si="5"/>
        <v>1.098901098901099E-2</v>
      </c>
      <c r="I39" s="1">
        <f t="shared" si="6"/>
        <v>1.7666666666666666</v>
      </c>
      <c r="J39" s="1">
        <f t="shared" si="7"/>
        <v>0.58888888888888891</v>
      </c>
      <c r="K39" s="1">
        <f t="shared" si="8"/>
        <v>0.82407650159084755</v>
      </c>
      <c r="L39" s="1">
        <f t="shared" si="9"/>
        <v>0.74111256762117528</v>
      </c>
    </row>
    <row r="40" spans="1:12" x14ac:dyDescent="0.3">
      <c r="A40" t="s">
        <v>13</v>
      </c>
      <c r="B40" t="s">
        <v>52</v>
      </c>
      <c r="C40">
        <v>43</v>
      </c>
      <c r="D40">
        <v>10</v>
      </c>
      <c r="E40">
        <v>34</v>
      </c>
      <c r="F40">
        <v>5</v>
      </c>
      <c r="G40">
        <v>87</v>
      </c>
      <c r="H40" s="1">
        <f t="shared" si="5"/>
        <v>5.434782608695652E-2</v>
      </c>
      <c r="I40" s="1">
        <f t="shared" si="6"/>
        <v>1.4827586206896552</v>
      </c>
      <c r="J40" s="1">
        <f t="shared" si="7"/>
        <v>0.4942528735632184</v>
      </c>
      <c r="K40" s="1">
        <f t="shared" si="8"/>
        <v>0.87759922584341121</v>
      </c>
      <c r="L40" s="1">
        <f t="shared" si="9"/>
        <v>0.83000781136811563</v>
      </c>
    </row>
    <row r="41" spans="1:12" x14ac:dyDescent="0.3">
      <c r="A41" t="s">
        <v>13</v>
      </c>
      <c r="B41" t="s">
        <v>53</v>
      </c>
      <c r="C41">
        <v>50</v>
      </c>
      <c r="D41">
        <v>11</v>
      </c>
      <c r="E41">
        <v>28</v>
      </c>
      <c r="F41">
        <v>2</v>
      </c>
      <c r="G41">
        <v>89</v>
      </c>
      <c r="H41" s="1">
        <f t="shared" si="5"/>
        <v>2.197802197802198E-2</v>
      </c>
      <c r="I41" s="1">
        <f t="shared" si="6"/>
        <v>1.6853932584269664</v>
      </c>
      <c r="J41" s="1">
        <f t="shared" si="7"/>
        <v>0.5617977528089888</v>
      </c>
      <c r="K41" s="1">
        <f t="shared" si="8"/>
        <v>0.86123882305281318</v>
      </c>
      <c r="L41" s="1">
        <f t="shared" si="9"/>
        <v>0.77966464214629461</v>
      </c>
    </row>
    <row r="42" spans="1:12" x14ac:dyDescent="0.3">
      <c r="A42" t="s">
        <v>13</v>
      </c>
      <c r="B42" t="s">
        <v>54</v>
      </c>
      <c r="C42">
        <v>55</v>
      </c>
      <c r="D42">
        <v>4</v>
      </c>
      <c r="E42">
        <v>31</v>
      </c>
      <c r="F42">
        <v>0</v>
      </c>
      <c r="G42">
        <v>90</v>
      </c>
      <c r="H42" s="1">
        <f t="shared" si="5"/>
        <v>0</v>
      </c>
      <c r="I42" s="1">
        <f t="shared" si="6"/>
        <v>1.8333333333333335</v>
      </c>
      <c r="J42" s="1">
        <f t="shared" si="7"/>
        <v>0.61111111111111116</v>
      </c>
      <c r="K42" s="1">
        <f t="shared" si="8"/>
        <v>0.73406509797324315</v>
      </c>
      <c r="L42" s="1">
        <f t="shared" si="9"/>
        <v>0.67377239211727913</v>
      </c>
    </row>
    <row r="43" spans="1:12" x14ac:dyDescent="0.3">
      <c r="A43" t="s">
        <v>13</v>
      </c>
      <c r="B43" t="s">
        <v>55</v>
      </c>
      <c r="C43">
        <v>64</v>
      </c>
      <c r="D43">
        <v>0</v>
      </c>
      <c r="E43">
        <v>25</v>
      </c>
      <c r="F43">
        <v>1</v>
      </c>
      <c r="G43">
        <v>89</v>
      </c>
      <c r="H43" s="1">
        <f t="shared" si="5"/>
        <v>1.1111111111111112E-2</v>
      </c>
      <c r="I43" s="1">
        <f t="shared" si="6"/>
        <v>2.1573033707865168</v>
      </c>
      <c r="J43" s="1">
        <f t="shared" si="7"/>
        <v>0.7191011235955056</v>
      </c>
      <c r="K43" s="1">
        <f t="shared" si="8"/>
        <v>0.54050029771165087</v>
      </c>
      <c r="L43" s="1">
        <f t="shared" si="9"/>
        <v>0.49283950446968716</v>
      </c>
    </row>
    <row r="44" spans="1:12" x14ac:dyDescent="0.3">
      <c r="A44" t="s">
        <v>13</v>
      </c>
      <c r="B44" t="s">
        <v>56</v>
      </c>
      <c r="C44">
        <v>42</v>
      </c>
      <c r="D44">
        <v>17</v>
      </c>
      <c r="E44">
        <v>31</v>
      </c>
      <c r="F44">
        <v>4</v>
      </c>
      <c r="G44">
        <v>90</v>
      </c>
      <c r="H44" s="1">
        <f t="shared" si="5"/>
        <v>4.2553191489361701E-2</v>
      </c>
      <c r="I44" s="1">
        <f t="shared" si="6"/>
        <v>1.4</v>
      </c>
      <c r="J44" s="1">
        <f t="shared" si="7"/>
        <v>0.46666666666666667</v>
      </c>
      <c r="K44" s="1">
        <f t="shared" si="8"/>
        <v>0.94444921447258412</v>
      </c>
      <c r="L44" s="1">
        <f t="shared" si="9"/>
        <v>0.88666952868355042</v>
      </c>
    </row>
    <row r="45" spans="1:12" x14ac:dyDescent="0.3">
      <c r="A45" t="s">
        <v>13</v>
      </c>
      <c r="B45" t="s">
        <v>57</v>
      </c>
      <c r="C45">
        <v>36</v>
      </c>
      <c r="D45">
        <v>21</v>
      </c>
      <c r="E45">
        <v>31</v>
      </c>
      <c r="F45">
        <v>5</v>
      </c>
      <c r="G45">
        <v>88</v>
      </c>
      <c r="H45" s="1">
        <f t="shared" si="5"/>
        <v>5.3763440860215055E-2</v>
      </c>
      <c r="I45" s="1">
        <f t="shared" si="6"/>
        <v>1.2272727272727273</v>
      </c>
      <c r="J45" s="1">
        <f t="shared" si="7"/>
        <v>0.40909090909090912</v>
      </c>
      <c r="K45" s="1">
        <f t="shared" si="8"/>
        <v>0.97861457021643905</v>
      </c>
      <c r="L45" s="1">
        <f t="shared" si="9"/>
        <v>0.94171419667531786</v>
      </c>
    </row>
    <row r="46" spans="1:12" x14ac:dyDescent="0.3">
      <c r="A46" t="s">
        <v>13</v>
      </c>
      <c r="B46" t="s">
        <v>58</v>
      </c>
      <c r="C46">
        <v>63</v>
      </c>
      <c r="D46">
        <v>4</v>
      </c>
      <c r="E46">
        <v>23</v>
      </c>
      <c r="F46">
        <v>0</v>
      </c>
      <c r="G46">
        <v>90</v>
      </c>
      <c r="H46" s="1">
        <f t="shared" si="5"/>
        <v>0</v>
      </c>
      <c r="I46" s="1">
        <f t="shared" si="6"/>
        <v>2.0999999999999996</v>
      </c>
      <c r="J46" s="1">
        <f t="shared" si="7"/>
        <v>0.7</v>
      </c>
      <c r="K46" s="1">
        <f t="shared" si="8"/>
        <v>0.67058171517441234</v>
      </c>
      <c r="L46" s="1">
        <f t="shared" si="9"/>
        <v>0.58234902910464736</v>
      </c>
    </row>
    <row r="47" spans="1:12" x14ac:dyDescent="0.3">
      <c r="A47" t="s">
        <v>13</v>
      </c>
      <c r="B47" t="s">
        <v>59</v>
      </c>
      <c r="C47">
        <v>46</v>
      </c>
      <c r="D47">
        <v>11</v>
      </c>
      <c r="E47">
        <v>33</v>
      </c>
      <c r="F47">
        <v>0</v>
      </c>
      <c r="G47">
        <v>90</v>
      </c>
      <c r="H47" s="1">
        <f t="shared" si="5"/>
        <v>0</v>
      </c>
      <c r="I47" s="1">
        <f t="shared" si="6"/>
        <v>1.5333333333333332</v>
      </c>
      <c r="J47" s="1">
        <f t="shared" si="7"/>
        <v>0.51111111111111107</v>
      </c>
      <c r="K47" s="1">
        <f t="shared" si="8"/>
        <v>0.88094741035781132</v>
      </c>
      <c r="L47" s="1">
        <f t="shared" si="9"/>
        <v>0.82190177954802002</v>
      </c>
    </row>
    <row r="48" spans="1:12" x14ac:dyDescent="0.3">
      <c r="A48" t="s">
        <v>13</v>
      </c>
      <c r="B48" t="s">
        <v>60</v>
      </c>
      <c r="C48">
        <v>46</v>
      </c>
      <c r="D48">
        <v>22</v>
      </c>
      <c r="E48">
        <v>20</v>
      </c>
      <c r="F48">
        <v>3</v>
      </c>
      <c r="G48">
        <v>88</v>
      </c>
      <c r="H48" s="1">
        <f t="shared" si="5"/>
        <v>3.2967032967032968E-2</v>
      </c>
      <c r="I48" s="1">
        <f t="shared" si="6"/>
        <v>1.5681818181818181</v>
      </c>
      <c r="J48" s="1">
        <f t="shared" si="7"/>
        <v>0.52272727272727271</v>
      </c>
      <c r="K48" s="1">
        <f t="shared" si="8"/>
        <v>0.93062192391010745</v>
      </c>
      <c r="L48" s="1">
        <f t="shared" si="9"/>
        <v>0.84473679070970076</v>
      </c>
    </row>
    <row r="49" spans="1:12" x14ac:dyDescent="0.3">
      <c r="A49" t="s">
        <v>13</v>
      </c>
      <c r="B49" t="s">
        <v>61</v>
      </c>
      <c r="C49">
        <v>66</v>
      </c>
      <c r="D49">
        <v>7</v>
      </c>
      <c r="E49">
        <v>17</v>
      </c>
      <c r="F49">
        <v>1</v>
      </c>
      <c r="G49">
        <v>90</v>
      </c>
      <c r="H49" s="1">
        <f t="shared" si="5"/>
        <v>1.098901098901099E-2</v>
      </c>
      <c r="I49" s="1">
        <f t="shared" si="6"/>
        <v>2.1999999999999997</v>
      </c>
      <c r="J49" s="1">
        <f t="shared" si="7"/>
        <v>0.73333333333333328</v>
      </c>
      <c r="K49" s="1">
        <f t="shared" si="8"/>
        <v>0.6743826851324638</v>
      </c>
      <c r="L49" s="1">
        <f t="shared" si="9"/>
        <v>0.56462961107947829</v>
      </c>
    </row>
    <row r="50" spans="1:12" x14ac:dyDescent="0.3">
      <c r="A50" t="s">
        <v>13</v>
      </c>
      <c r="B50" t="s">
        <v>62</v>
      </c>
      <c r="C50">
        <v>39</v>
      </c>
      <c r="D50">
        <v>10</v>
      </c>
      <c r="E50">
        <v>41</v>
      </c>
      <c r="F50">
        <v>1</v>
      </c>
      <c r="G50">
        <v>90</v>
      </c>
      <c r="H50" s="1">
        <f t="shared" si="5"/>
        <v>1.098901098901099E-2</v>
      </c>
      <c r="I50" s="1">
        <f t="shared" si="6"/>
        <v>1.3</v>
      </c>
      <c r="J50" s="1">
        <f t="shared" si="7"/>
        <v>0.45555555555555555</v>
      </c>
      <c r="K50" s="1">
        <f t="shared" si="8"/>
        <v>0.87809423418770749</v>
      </c>
      <c r="L50" s="1">
        <f t="shared" si="9"/>
        <v>0.85352320717929109</v>
      </c>
    </row>
    <row r="51" spans="1:12" x14ac:dyDescent="0.3">
      <c r="A51" t="s">
        <v>13</v>
      </c>
      <c r="B51" t="s">
        <v>63</v>
      </c>
      <c r="C51">
        <v>73</v>
      </c>
      <c r="D51">
        <v>5</v>
      </c>
      <c r="E51">
        <v>12</v>
      </c>
      <c r="F51">
        <v>4</v>
      </c>
      <c r="G51">
        <v>90</v>
      </c>
      <c r="H51" s="1">
        <f t="shared" si="5"/>
        <v>4.2553191489361701E-2</v>
      </c>
      <c r="I51" s="1">
        <f t="shared" si="6"/>
        <v>2.4333333333333336</v>
      </c>
      <c r="J51" s="1">
        <f t="shared" si="7"/>
        <v>0.81111111111111112</v>
      </c>
      <c r="K51" s="1">
        <f t="shared" si="8"/>
        <v>0.54526628550061229</v>
      </c>
      <c r="L51" s="1">
        <f t="shared" si="9"/>
        <v>0.44049310463370067</v>
      </c>
    </row>
    <row r="52" spans="1:12" x14ac:dyDescent="0.3">
      <c r="A52" t="s">
        <v>13</v>
      </c>
      <c r="B52" t="s">
        <v>64</v>
      </c>
      <c r="C52">
        <v>32</v>
      </c>
      <c r="D52">
        <v>30</v>
      </c>
      <c r="E52">
        <v>28</v>
      </c>
      <c r="F52">
        <v>1</v>
      </c>
      <c r="G52">
        <v>89</v>
      </c>
      <c r="H52" s="1">
        <f t="shared" si="5"/>
        <v>1.1111111111111112E-2</v>
      </c>
      <c r="I52" s="1">
        <f t="shared" si="6"/>
        <v>1.0786516853932584</v>
      </c>
      <c r="J52" s="1">
        <f t="shared" si="7"/>
        <v>0.3595505617977528</v>
      </c>
      <c r="K52" s="1">
        <f t="shared" si="8"/>
        <v>0.99958663848124529</v>
      </c>
      <c r="L52" s="1">
        <f t="shared" si="9"/>
        <v>0.98402164601009545</v>
      </c>
    </row>
    <row r="53" spans="1:12" x14ac:dyDescent="0.3">
      <c r="A53" t="s">
        <v>13</v>
      </c>
      <c r="B53" t="s">
        <v>65</v>
      </c>
      <c r="C53">
        <v>44</v>
      </c>
      <c r="D53">
        <v>21</v>
      </c>
      <c r="E53">
        <v>25</v>
      </c>
      <c r="F53">
        <v>2</v>
      </c>
      <c r="G53">
        <v>90</v>
      </c>
      <c r="H53" s="1">
        <f t="shared" si="5"/>
        <v>2.1739130434782608E-2</v>
      </c>
      <c r="I53" s="1">
        <f t="shared" si="6"/>
        <v>1.4666666666666666</v>
      </c>
      <c r="J53" s="1">
        <f t="shared" si="7"/>
        <v>0.48888888888888887</v>
      </c>
      <c r="K53" s="1">
        <f t="shared" si="8"/>
        <v>0.9514190522569782</v>
      </c>
      <c r="L53" s="1">
        <f t="shared" si="9"/>
        <v>0.87751809802085357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1.3281582701838461</v>
      </c>
      <c r="J54" s="1">
        <f>IFERROR(AVERAGEIF($A$2:$A$53,"F",$J$2:$J$53),"")</f>
        <v>0.51282331731838759</v>
      </c>
      <c r="K54" s="1">
        <f>IFERROR(AVERAGEIF($A$2:$A$53,"F",$K$2:$K$53),"")</f>
        <v>0.89015462068828011</v>
      </c>
      <c r="L54" s="1">
        <f>IFERROR(AVERAGEIF($A$2:$A$53,"F",$L$2:$L$53),"")</f>
        <v>0.82639878202193529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1.685870402766309</v>
      </c>
      <c r="J55" s="1">
        <f>IFERROR(AVERAGEIF($A$2:$A$53,"M",$J$2:$J$53),"")</f>
        <v>0.57741695804892668</v>
      </c>
      <c r="K55" s="1">
        <f>IFERROR(AVERAGEIF($A$2:$A$53,"M",$K$2:$K$53),"")</f>
        <v>0.81355543284598497</v>
      </c>
      <c r="L55" s="1">
        <f>IFERROR(AVERAGEIF($A$2:$A$53,"M",$L$2:$L$53),"")</f>
        <v>0.74168308487823487</v>
      </c>
    </row>
  </sheetData>
  <autoFilter ref="A1:L5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2025-08-17T14:29:03Z</dcterms:created>
  <dcterms:modified xsi:type="dcterms:W3CDTF">2025-09-09T11:47:21Z</dcterms:modified>
</cp:coreProperties>
</file>