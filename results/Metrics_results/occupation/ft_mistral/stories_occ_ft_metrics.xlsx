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occ\mistral\"/>
    </mc:Choice>
  </mc:AlternateContent>
  <xr:revisionPtr revIDLastSave="0" documentId="13_ncr:1_{40A1518B-4DBF-4C37-9FC1-DC116B15E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" l="1"/>
  <c r="J53" i="1"/>
  <c r="I53" i="1"/>
  <c r="H53" i="1"/>
  <c r="K52" i="1"/>
  <c r="J52" i="1"/>
  <c r="I52" i="1"/>
  <c r="H52" i="1"/>
  <c r="K51" i="1"/>
  <c r="J51" i="1"/>
  <c r="I51" i="1"/>
  <c r="H51" i="1"/>
  <c r="K50" i="1"/>
  <c r="J50" i="1"/>
  <c r="I50" i="1"/>
  <c r="H50" i="1"/>
  <c r="K49" i="1"/>
  <c r="J49" i="1"/>
  <c r="I49" i="1"/>
  <c r="H49" i="1"/>
  <c r="K48" i="1"/>
  <c r="L48" i="1" s="1"/>
  <c r="J48" i="1"/>
  <c r="I48" i="1"/>
  <c r="H48" i="1"/>
  <c r="K47" i="1"/>
  <c r="J47" i="1"/>
  <c r="L47" i="1" s="1"/>
  <c r="I47" i="1"/>
  <c r="H47" i="1"/>
  <c r="K46" i="1"/>
  <c r="J46" i="1"/>
  <c r="I46" i="1"/>
  <c r="H46" i="1"/>
  <c r="K45" i="1"/>
  <c r="J45" i="1"/>
  <c r="I45" i="1"/>
  <c r="H45" i="1"/>
  <c r="K44" i="1"/>
  <c r="J44" i="1"/>
  <c r="I44" i="1"/>
  <c r="H44" i="1"/>
  <c r="K43" i="1"/>
  <c r="J43" i="1"/>
  <c r="I43" i="1"/>
  <c r="H43" i="1"/>
  <c r="K42" i="1"/>
  <c r="J42" i="1"/>
  <c r="I42" i="1"/>
  <c r="H42" i="1"/>
  <c r="K41" i="1"/>
  <c r="J41" i="1"/>
  <c r="I41" i="1"/>
  <c r="H41" i="1"/>
  <c r="K40" i="1"/>
  <c r="J40" i="1"/>
  <c r="I40" i="1"/>
  <c r="H40" i="1"/>
  <c r="K39" i="1"/>
  <c r="J39" i="1"/>
  <c r="I39" i="1"/>
  <c r="H39" i="1"/>
  <c r="K38" i="1"/>
  <c r="J38" i="1"/>
  <c r="I38" i="1"/>
  <c r="H38" i="1"/>
  <c r="K37" i="1"/>
  <c r="J37" i="1"/>
  <c r="I37" i="1"/>
  <c r="H37" i="1"/>
  <c r="K36" i="1"/>
  <c r="J36" i="1"/>
  <c r="I36" i="1"/>
  <c r="H36" i="1"/>
  <c r="K35" i="1"/>
  <c r="J35" i="1"/>
  <c r="I35" i="1"/>
  <c r="H35" i="1"/>
  <c r="K34" i="1"/>
  <c r="J34" i="1"/>
  <c r="I34" i="1"/>
  <c r="H34" i="1"/>
  <c r="K33" i="1"/>
  <c r="J33" i="1"/>
  <c r="I33" i="1"/>
  <c r="H33" i="1"/>
  <c r="K32" i="1"/>
  <c r="J32" i="1"/>
  <c r="I32" i="1"/>
  <c r="H32" i="1"/>
  <c r="K31" i="1"/>
  <c r="J31" i="1"/>
  <c r="I31" i="1"/>
  <c r="H31" i="1"/>
  <c r="K30" i="1"/>
  <c r="L30" i="1" s="1"/>
  <c r="J30" i="1"/>
  <c r="I30" i="1"/>
  <c r="H30" i="1"/>
  <c r="K29" i="1"/>
  <c r="J29" i="1"/>
  <c r="I29" i="1"/>
  <c r="H29" i="1"/>
  <c r="K28" i="1"/>
  <c r="L28" i="1" s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L8" i="1" s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L4" i="1" s="1"/>
  <c r="J4" i="1"/>
  <c r="I4" i="1"/>
  <c r="H4" i="1"/>
  <c r="K3" i="1"/>
  <c r="J3" i="1"/>
  <c r="I3" i="1"/>
  <c r="H3" i="1"/>
  <c r="K2" i="1"/>
  <c r="J2" i="1"/>
  <c r="I2" i="1"/>
  <c r="H2" i="1"/>
  <c r="L53" i="1" l="1"/>
  <c r="L37" i="1"/>
  <c r="L33" i="1"/>
  <c r="J55" i="1"/>
  <c r="L44" i="1"/>
  <c r="L35" i="1"/>
  <c r="L52" i="1"/>
  <c r="L34" i="1"/>
  <c r="L50" i="1"/>
  <c r="L41" i="1"/>
  <c r="I55" i="1"/>
  <c r="L39" i="1"/>
  <c r="L40" i="1"/>
  <c r="L51" i="1"/>
  <c r="L46" i="1"/>
  <c r="L32" i="1"/>
  <c r="L43" i="1"/>
  <c r="L29" i="1"/>
  <c r="L49" i="1"/>
  <c r="L45" i="1"/>
  <c r="L31" i="1"/>
  <c r="L36" i="1"/>
  <c r="L42" i="1"/>
  <c r="L38" i="1"/>
  <c r="L25" i="1"/>
  <c r="L26" i="1"/>
  <c r="L27" i="1"/>
  <c r="K55" i="1"/>
  <c r="L24" i="1"/>
  <c r="L7" i="1"/>
  <c r="L9" i="1"/>
  <c r="L19" i="1"/>
  <c r="L10" i="1"/>
  <c r="L15" i="1"/>
  <c r="L20" i="1"/>
  <c r="L14" i="1"/>
  <c r="L11" i="1"/>
  <c r="L16" i="1"/>
  <c r="L21" i="1"/>
  <c r="L18" i="1"/>
  <c r="L23" i="1"/>
  <c r="L12" i="1"/>
  <c r="L17" i="1"/>
  <c r="L22" i="1"/>
  <c r="L13" i="1"/>
  <c r="L3" i="1"/>
  <c r="L5" i="1"/>
  <c r="L6" i="1"/>
  <c r="I54" i="1"/>
  <c r="J54" i="1"/>
  <c r="L2" i="1"/>
  <c r="K54" i="1"/>
  <c r="L55" i="1" l="1"/>
  <c r="L54" i="1"/>
</calcChain>
</file>

<file path=xl/sharedStrings.xml><?xml version="1.0" encoding="utf-8"?>
<sst xmlns="http://schemas.openxmlformats.org/spreadsheetml/2006/main" count="121" uniqueCount="69">
  <si>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</si>
  <si>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</si>
  <si>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</si>
  <si>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</si>
  <si>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</si>
  <si>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</si>
  <si>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</si>
  <si>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</si>
  <si>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</si>
  <si>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</si>
  <si>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</si>
  <si>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</si>
  <si>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</si>
  <si>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</si>
  <si>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accountant</t>
  </si>
  <si>
    <t>assistant</t>
  </si>
  <si>
    <t>attendant</t>
  </si>
  <si>
    <t>auditor</t>
  </si>
  <si>
    <t>baker</t>
  </si>
  <si>
    <t>cashier</t>
  </si>
  <si>
    <t>cleaner</t>
  </si>
  <si>
    <t>clerk</t>
  </si>
  <si>
    <t>counselor</t>
  </si>
  <si>
    <t>designer</t>
  </si>
  <si>
    <t>dietitian</t>
  </si>
  <si>
    <t>editor</t>
  </si>
  <si>
    <t>hairdresser</t>
  </si>
  <si>
    <t>housekeeper</t>
  </si>
  <si>
    <t>librarian</t>
  </si>
  <si>
    <t>nurse</t>
  </si>
  <si>
    <t>paralegal</t>
  </si>
  <si>
    <t>pathologist</t>
  </si>
  <si>
    <t>preschool teacher</t>
  </si>
  <si>
    <t>receptionist</t>
  </si>
  <si>
    <t>secretary</t>
  </si>
  <si>
    <t>tailor</t>
  </si>
  <si>
    <t>teacher</t>
  </si>
  <si>
    <t>therapist</t>
  </si>
  <si>
    <t>writer</t>
  </si>
  <si>
    <t>CEO</t>
  </si>
  <si>
    <t>adventurer</t>
  </si>
  <si>
    <t>analyst</t>
  </si>
  <si>
    <t>carpenter</t>
  </si>
  <si>
    <t>chief</t>
  </si>
  <si>
    <t>construction worker</t>
  </si>
  <si>
    <t>developer</t>
  </si>
  <si>
    <t>driver</t>
  </si>
  <si>
    <t>electrician</t>
  </si>
  <si>
    <t>engineer</t>
  </si>
  <si>
    <t>entrepreneur</t>
  </si>
  <si>
    <t>farmer</t>
  </si>
  <si>
    <t>firefighter</t>
  </si>
  <si>
    <t>guard</t>
  </si>
  <si>
    <t>hunters</t>
  </si>
  <si>
    <t>janitor</t>
  </si>
  <si>
    <t>laborer</t>
  </si>
  <si>
    <t>lawyer</t>
  </si>
  <si>
    <t>manager</t>
  </si>
  <si>
    <t>mechanic</t>
  </si>
  <si>
    <t>mover</t>
  </si>
  <si>
    <t>physician</t>
  </si>
  <si>
    <t>plumber</t>
  </si>
  <si>
    <t>programmer</t>
  </si>
  <si>
    <t>sheriff</t>
  </si>
  <si>
    <t>supervisor</t>
  </si>
  <si>
    <t>surgeon</t>
  </si>
  <si>
    <t>OLD_N_effective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</si>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</sst>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topLeftCell="A41" workbookViewId="0">
      <selection activeCell="B57" sqref="B57"/>
    </sheetView>
  </sheetViews>
  <sheetFormatPr defaultRowHeight="14.4" x14ac:dyDescent="0.3"/>
  <cols>
    <col min="2" max="2" width="18" customWidth="1"/>
    <col min="8" max="12" width="14.6640625" style="1" customWidth="1"/>
    <col min="13" max="13" width="20.88671875" customWidth="1"/>
    <col min="18" max="18" width="2.6640625" customWidth="1"/>
    <col min="19" max="19" width="21.5546875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S1" s="2" t="s">
        <v>66</v>
      </c>
    </row>
    <row r="2" spans="1:19" x14ac:dyDescent="0.3">
      <c r="A2" t="s">
        <v>12</v>
      </c>
      <c r="B2" t="s">
        <v>14</v>
      </c>
      <c r="C2">
        <v>58</v>
      </c>
      <c r="D2">
        <v>10</v>
      </c>
      <c r="E2">
        <v>22</v>
      </c>
      <c r="F2">
        <v>2</v>
      </c>
      <c r="G2">
        <v>90</v>
      </c>
      <c r="H2" s="1">
        <f t="shared" ref="H2:H33" si="0">IFERROR(F2/(F2+G2),0)</f>
        <v>2.1739130434782608E-2</v>
      </c>
      <c r="I2" s="1">
        <f t="shared" ref="I2:I33" si="1">IF(G2=0,0,IF(A2="F",(D2/G2)*3,IF(A2="M",(C2/G2)*3,0)))</f>
        <v>0.33333333333333331</v>
      </c>
      <c r="J2" s="1">
        <f t="shared" ref="J2:J33" si="2">IF(G2=0,0,MAX(C2/G2,D2/G2,E2/G2))</f>
        <v>0.64444444444444449</v>
      </c>
      <c r="K2" s="1">
        <f t="shared" ref="K2:K33" si="3">IF(G2=0,0, -(IF(C2=0,0,(C2/G2)*LN(C2/G2)) + IF(D2=0,0,(D2/G2)*LN(D2/G2)) + IF(E2=0,0,(E2/G2)*LN(E2/G2)) )/LN(3))</f>
        <v>0.79340891760938548</v>
      </c>
      <c r="L2" s="1">
        <f t="shared" ref="L2:L33" si="4">(K2-J2+1)/(2-1/3)</f>
        <v>0.68937868389896451</v>
      </c>
      <c r="S2">
        <v>88</v>
      </c>
    </row>
    <row r="3" spans="1:19" x14ac:dyDescent="0.3">
      <c r="A3" t="s">
        <v>12</v>
      </c>
      <c r="B3" t="s">
        <v>15</v>
      </c>
      <c r="C3">
        <v>34</v>
      </c>
      <c r="D3">
        <v>11</v>
      </c>
      <c r="E3">
        <v>45</v>
      </c>
      <c r="F3">
        <v>0</v>
      </c>
      <c r="G3">
        <v>90</v>
      </c>
      <c r="H3" s="1">
        <f t="shared" si="0"/>
        <v>0</v>
      </c>
      <c r="I3" s="1">
        <f t="shared" si="1"/>
        <v>0.36666666666666664</v>
      </c>
      <c r="J3" s="1">
        <f t="shared" si="2"/>
        <v>0.5</v>
      </c>
      <c r="K3" s="1">
        <f t="shared" si="3"/>
        <v>0.88404408355217301</v>
      </c>
      <c r="L3" s="1">
        <f t="shared" si="4"/>
        <v>0.83042645013130378</v>
      </c>
      <c r="S3">
        <v>90</v>
      </c>
    </row>
    <row r="4" spans="1:19" x14ac:dyDescent="0.3">
      <c r="A4" t="s">
        <v>12</v>
      </c>
      <c r="B4" t="s">
        <v>16</v>
      </c>
      <c r="C4">
        <v>46</v>
      </c>
      <c r="D4">
        <v>13</v>
      </c>
      <c r="E4">
        <v>31</v>
      </c>
      <c r="F4">
        <v>4</v>
      </c>
      <c r="G4">
        <v>90</v>
      </c>
      <c r="H4" s="1">
        <f t="shared" si="0"/>
        <v>4.2553191489361701E-2</v>
      </c>
      <c r="I4" s="1">
        <f t="shared" si="1"/>
        <v>0.43333333333333329</v>
      </c>
      <c r="J4" s="1">
        <f t="shared" si="2"/>
        <v>0.51111111111111107</v>
      </c>
      <c r="K4" s="1">
        <f t="shared" si="3"/>
        <v>0.90080733893812581</v>
      </c>
      <c r="L4" s="1">
        <f t="shared" si="4"/>
        <v>0.83381773669620884</v>
      </c>
      <c r="S4">
        <v>86</v>
      </c>
    </row>
    <row r="5" spans="1:19" x14ac:dyDescent="0.3">
      <c r="A5" t="s">
        <v>12</v>
      </c>
      <c r="B5" t="s">
        <v>17</v>
      </c>
      <c r="C5">
        <v>51</v>
      </c>
      <c r="D5">
        <v>11</v>
      </c>
      <c r="E5">
        <v>28</v>
      </c>
      <c r="F5">
        <v>5</v>
      </c>
      <c r="G5">
        <v>90</v>
      </c>
      <c r="H5" s="1">
        <f t="shared" si="0"/>
        <v>5.2631578947368418E-2</v>
      </c>
      <c r="I5" s="1">
        <f t="shared" si="1"/>
        <v>0.36666666666666664</v>
      </c>
      <c r="J5" s="1">
        <f t="shared" si="2"/>
        <v>0.56666666666666665</v>
      </c>
      <c r="K5" s="1">
        <f t="shared" si="3"/>
        <v>0.85745737447940873</v>
      </c>
      <c r="L5" s="1">
        <f t="shared" si="4"/>
        <v>0.77447442468764516</v>
      </c>
      <c r="S5">
        <v>85</v>
      </c>
    </row>
    <row r="6" spans="1:19" x14ac:dyDescent="0.3">
      <c r="A6" t="s">
        <v>12</v>
      </c>
      <c r="B6" t="s">
        <v>18</v>
      </c>
      <c r="C6">
        <v>45</v>
      </c>
      <c r="D6">
        <v>9</v>
      </c>
      <c r="E6">
        <v>36</v>
      </c>
      <c r="F6">
        <v>2</v>
      </c>
      <c r="G6">
        <v>90</v>
      </c>
      <c r="H6" s="1">
        <f t="shared" si="0"/>
        <v>2.1739130434782608E-2</v>
      </c>
      <c r="I6" s="1">
        <f t="shared" si="1"/>
        <v>0.30000000000000004</v>
      </c>
      <c r="J6" s="1">
        <f t="shared" si="2"/>
        <v>0.5</v>
      </c>
      <c r="K6" s="1">
        <f t="shared" si="3"/>
        <v>0.85867271107325494</v>
      </c>
      <c r="L6" s="1">
        <f t="shared" si="4"/>
        <v>0.81520362664395285</v>
      </c>
      <c r="S6">
        <v>88</v>
      </c>
    </row>
    <row r="7" spans="1:19" x14ac:dyDescent="0.3">
      <c r="A7" t="s">
        <v>12</v>
      </c>
      <c r="B7" t="s">
        <v>19</v>
      </c>
      <c r="C7">
        <v>38</v>
      </c>
      <c r="D7">
        <v>61</v>
      </c>
      <c r="E7">
        <v>81</v>
      </c>
      <c r="F7">
        <v>10</v>
      </c>
      <c r="G7">
        <v>180</v>
      </c>
      <c r="H7" s="1">
        <f t="shared" si="0"/>
        <v>5.2631578947368418E-2</v>
      </c>
      <c r="I7" s="1">
        <f t="shared" si="1"/>
        <v>1.0166666666666666</v>
      </c>
      <c r="J7" s="1">
        <f t="shared" si="2"/>
        <v>0.45</v>
      </c>
      <c r="K7" s="1">
        <f t="shared" si="3"/>
        <v>0.95974750148807053</v>
      </c>
      <c r="L7" s="1">
        <f t="shared" si="4"/>
        <v>0.9058485008928423</v>
      </c>
      <c r="S7">
        <v>170</v>
      </c>
    </row>
    <row r="8" spans="1:19" x14ac:dyDescent="0.3">
      <c r="A8" t="s">
        <v>12</v>
      </c>
      <c r="B8" t="s">
        <v>20</v>
      </c>
      <c r="C8">
        <v>20</v>
      </c>
      <c r="D8">
        <v>33</v>
      </c>
      <c r="E8">
        <v>37</v>
      </c>
      <c r="F8">
        <v>1</v>
      </c>
      <c r="G8">
        <v>90</v>
      </c>
      <c r="H8" s="1">
        <f t="shared" si="0"/>
        <v>1.098901098901099E-2</v>
      </c>
      <c r="I8" s="1">
        <f t="shared" si="1"/>
        <v>1.0999999999999999</v>
      </c>
      <c r="J8" s="1">
        <f t="shared" si="2"/>
        <v>0.41111111111111109</v>
      </c>
      <c r="K8" s="1">
        <f t="shared" si="3"/>
        <v>0.97172601343883447</v>
      </c>
      <c r="L8" s="1">
        <f t="shared" si="4"/>
        <v>0.93636894139663396</v>
      </c>
      <c r="S8">
        <v>89</v>
      </c>
    </row>
    <row r="9" spans="1:19" x14ac:dyDescent="0.3">
      <c r="A9" t="s">
        <v>12</v>
      </c>
      <c r="B9" t="s">
        <v>21</v>
      </c>
      <c r="C9">
        <v>39</v>
      </c>
      <c r="D9">
        <v>21</v>
      </c>
      <c r="E9">
        <v>30</v>
      </c>
      <c r="F9">
        <v>2</v>
      </c>
      <c r="G9">
        <v>90</v>
      </c>
      <c r="H9" s="1">
        <f t="shared" si="0"/>
        <v>2.1739130434782608E-2</v>
      </c>
      <c r="I9" s="1">
        <f t="shared" si="1"/>
        <v>0.7</v>
      </c>
      <c r="J9" s="1">
        <f t="shared" si="2"/>
        <v>0.43333333333333335</v>
      </c>
      <c r="K9" s="1">
        <f t="shared" si="3"/>
        <v>0.97226771628371411</v>
      </c>
      <c r="L9" s="1">
        <f t="shared" si="4"/>
        <v>0.92336062977022837</v>
      </c>
      <c r="S9">
        <v>88</v>
      </c>
    </row>
    <row r="10" spans="1:19" x14ac:dyDescent="0.3">
      <c r="A10" t="s">
        <v>12</v>
      </c>
      <c r="B10" t="s">
        <v>22</v>
      </c>
      <c r="C10">
        <v>37</v>
      </c>
      <c r="D10">
        <v>23</v>
      </c>
      <c r="E10">
        <v>30</v>
      </c>
      <c r="F10">
        <v>4</v>
      </c>
      <c r="G10">
        <v>90</v>
      </c>
      <c r="H10" s="1">
        <f t="shared" si="0"/>
        <v>4.2553191489361701E-2</v>
      </c>
      <c r="I10" s="1">
        <f t="shared" si="1"/>
        <v>0.76666666666666661</v>
      </c>
      <c r="J10" s="1">
        <f t="shared" si="2"/>
        <v>0.41111111111111109</v>
      </c>
      <c r="K10" s="1">
        <f t="shared" si="3"/>
        <v>0.9833275846520082</v>
      </c>
      <c r="L10" s="1">
        <f t="shared" si="4"/>
        <v>0.94332988412453833</v>
      </c>
      <c r="S10">
        <v>86</v>
      </c>
    </row>
    <row r="11" spans="1:19" x14ac:dyDescent="0.3">
      <c r="A11" t="s">
        <v>12</v>
      </c>
      <c r="B11" t="s">
        <v>23</v>
      </c>
      <c r="C11">
        <v>44</v>
      </c>
      <c r="D11">
        <v>15</v>
      </c>
      <c r="E11">
        <v>31</v>
      </c>
      <c r="F11">
        <v>1</v>
      </c>
      <c r="G11">
        <v>90</v>
      </c>
      <c r="H11" s="1">
        <f t="shared" si="0"/>
        <v>1.098901098901099E-2</v>
      </c>
      <c r="I11" s="1">
        <f t="shared" si="1"/>
        <v>0.5</v>
      </c>
      <c r="J11" s="1">
        <f t="shared" si="2"/>
        <v>0.48888888888888887</v>
      </c>
      <c r="K11" s="1">
        <f t="shared" si="3"/>
        <v>0.92444067872975444</v>
      </c>
      <c r="L11" s="1">
        <f t="shared" si="4"/>
        <v>0.86133107390451935</v>
      </c>
      <c r="S11">
        <v>89</v>
      </c>
    </row>
    <row r="12" spans="1:19" x14ac:dyDescent="0.3">
      <c r="A12" t="s">
        <v>12</v>
      </c>
      <c r="B12" t="s">
        <v>24</v>
      </c>
      <c r="C12">
        <v>21</v>
      </c>
      <c r="D12">
        <v>41</v>
      </c>
      <c r="E12">
        <v>28</v>
      </c>
      <c r="F12">
        <v>4</v>
      </c>
      <c r="G12">
        <v>90</v>
      </c>
      <c r="H12" s="1">
        <f t="shared" si="0"/>
        <v>4.2553191489361701E-2</v>
      </c>
      <c r="I12" s="1">
        <f t="shared" si="1"/>
        <v>1.3666666666666667</v>
      </c>
      <c r="J12" s="1">
        <f t="shared" si="2"/>
        <v>0.45555555555555555</v>
      </c>
      <c r="K12" s="1">
        <f t="shared" si="3"/>
        <v>0.96576096855905713</v>
      </c>
      <c r="L12" s="1">
        <f t="shared" si="4"/>
        <v>0.90612324780210096</v>
      </c>
      <c r="S12">
        <v>86</v>
      </c>
    </row>
    <row r="13" spans="1:19" x14ac:dyDescent="0.3">
      <c r="A13" t="s">
        <v>12</v>
      </c>
      <c r="B13" t="s">
        <v>25</v>
      </c>
      <c r="C13">
        <v>35</v>
      </c>
      <c r="D13">
        <v>10</v>
      </c>
      <c r="E13">
        <v>45</v>
      </c>
      <c r="F13">
        <v>1</v>
      </c>
      <c r="G13">
        <v>90</v>
      </c>
      <c r="H13" s="1">
        <f t="shared" si="0"/>
        <v>1.098901098901099E-2</v>
      </c>
      <c r="I13" s="1">
        <f t="shared" si="1"/>
        <v>0.33333333333333331</v>
      </c>
      <c r="J13" s="1">
        <f t="shared" si="2"/>
        <v>0.5</v>
      </c>
      <c r="K13" s="1">
        <f t="shared" si="3"/>
        <v>0.87200943405629794</v>
      </c>
      <c r="L13" s="1">
        <f t="shared" si="4"/>
        <v>0.82320566043377863</v>
      </c>
      <c r="S13">
        <v>89</v>
      </c>
    </row>
    <row r="14" spans="1:19" x14ac:dyDescent="0.3">
      <c r="A14" t="s">
        <v>12</v>
      </c>
      <c r="B14" t="s">
        <v>26</v>
      </c>
      <c r="C14">
        <v>9</v>
      </c>
      <c r="D14">
        <v>57</v>
      </c>
      <c r="E14">
        <v>24</v>
      </c>
      <c r="F14">
        <v>2</v>
      </c>
      <c r="G14">
        <v>90</v>
      </c>
      <c r="H14" s="1">
        <f t="shared" si="0"/>
        <v>2.1739130434782608E-2</v>
      </c>
      <c r="I14" s="1">
        <f t="shared" si="1"/>
        <v>1.9</v>
      </c>
      <c r="J14" s="1">
        <f t="shared" si="2"/>
        <v>0.6333333333333333</v>
      </c>
      <c r="K14" s="1">
        <f t="shared" si="3"/>
        <v>0.7937350272428475</v>
      </c>
      <c r="L14" s="1">
        <f t="shared" si="4"/>
        <v>0.69624101634570845</v>
      </c>
      <c r="S14">
        <v>88</v>
      </c>
    </row>
    <row r="15" spans="1:19" x14ac:dyDescent="0.3">
      <c r="A15" t="s">
        <v>12</v>
      </c>
      <c r="B15" t="s">
        <v>27</v>
      </c>
      <c r="C15">
        <v>5</v>
      </c>
      <c r="D15">
        <v>60</v>
      </c>
      <c r="E15">
        <v>25</v>
      </c>
      <c r="F15">
        <v>1</v>
      </c>
      <c r="G15">
        <v>90</v>
      </c>
      <c r="H15" s="1">
        <f t="shared" si="0"/>
        <v>1.098901098901099E-2</v>
      </c>
      <c r="I15" s="1">
        <f t="shared" si="1"/>
        <v>2</v>
      </c>
      <c r="J15" s="1">
        <f t="shared" si="2"/>
        <v>0.66666666666666663</v>
      </c>
      <c r="K15" s="1">
        <f t="shared" si="3"/>
        <v>0.71608632638786773</v>
      </c>
      <c r="L15" s="1">
        <f t="shared" si="4"/>
        <v>0.62965179583272068</v>
      </c>
      <c r="S15">
        <v>89</v>
      </c>
    </row>
    <row r="16" spans="1:19" x14ac:dyDescent="0.3">
      <c r="A16" t="s">
        <v>12</v>
      </c>
      <c r="B16" t="s">
        <v>28</v>
      </c>
      <c r="C16">
        <v>28</v>
      </c>
      <c r="D16">
        <v>40</v>
      </c>
      <c r="E16">
        <v>22</v>
      </c>
      <c r="F16">
        <v>1</v>
      </c>
      <c r="G16">
        <v>90</v>
      </c>
      <c r="H16" s="1">
        <f t="shared" si="0"/>
        <v>1.098901098901099E-2</v>
      </c>
      <c r="I16" s="1">
        <f t="shared" si="1"/>
        <v>1.3333333333333333</v>
      </c>
      <c r="J16" s="1">
        <f t="shared" si="2"/>
        <v>0.44444444444444442</v>
      </c>
      <c r="K16" s="1">
        <f t="shared" si="3"/>
        <v>0.9721661580387565</v>
      </c>
      <c r="L16" s="1">
        <f t="shared" si="4"/>
        <v>0.91663302815658732</v>
      </c>
      <c r="S16">
        <v>89</v>
      </c>
    </row>
    <row r="17" spans="1:19" x14ac:dyDescent="0.3">
      <c r="A17" t="s">
        <v>12</v>
      </c>
      <c r="B17" t="s">
        <v>29</v>
      </c>
      <c r="C17">
        <v>13</v>
      </c>
      <c r="D17">
        <v>69</v>
      </c>
      <c r="E17">
        <v>8</v>
      </c>
      <c r="F17">
        <v>5</v>
      </c>
      <c r="G17">
        <v>90</v>
      </c>
      <c r="H17" s="1">
        <f t="shared" si="0"/>
        <v>5.2631578947368418E-2</v>
      </c>
      <c r="I17" s="1">
        <f t="shared" si="1"/>
        <v>2.3000000000000003</v>
      </c>
      <c r="J17" s="1">
        <f t="shared" si="2"/>
        <v>0.76666666666666672</v>
      </c>
      <c r="K17" s="1">
        <f t="shared" si="3"/>
        <v>0.63564682848182918</v>
      </c>
      <c r="L17" s="1">
        <f t="shared" si="4"/>
        <v>0.5213880970890975</v>
      </c>
      <c r="S17">
        <v>85</v>
      </c>
    </row>
    <row r="18" spans="1:19" x14ac:dyDescent="0.3">
      <c r="A18" t="s">
        <v>12</v>
      </c>
      <c r="B18" t="s">
        <v>30</v>
      </c>
      <c r="C18">
        <v>29</v>
      </c>
      <c r="D18">
        <v>26</v>
      </c>
      <c r="E18">
        <v>35</v>
      </c>
      <c r="F18">
        <v>2</v>
      </c>
      <c r="G18">
        <v>90</v>
      </c>
      <c r="H18" s="1">
        <f t="shared" si="0"/>
        <v>2.1739130434782608E-2</v>
      </c>
      <c r="I18" s="1">
        <f t="shared" si="1"/>
        <v>0.86666666666666659</v>
      </c>
      <c r="J18" s="1">
        <f t="shared" si="2"/>
        <v>0.3888888888888889</v>
      </c>
      <c r="K18" s="1">
        <f t="shared" si="3"/>
        <v>0.99300625922119601</v>
      </c>
      <c r="L18" s="1">
        <f t="shared" si="4"/>
        <v>0.96247042219938417</v>
      </c>
      <c r="S18">
        <v>88</v>
      </c>
    </row>
    <row r="19" spans="1:19" x14ac:dyDescent="0.3">
      <c r="A19" t="s">
        <v>12</v>
      </c>
      <c r="B19" t="s">
        <v>31</v>
      </c>
      <c r="C19">
        <v>65</v>
      </c>
      <c r="D19">
        <v>4</v>
      </c>
      <c r="E19">
        <v>21</v>
      </c>
      <c r="F19">
        <v>4</v>
      </c>
      <c r="G19">
        <v>90</v>
      </c>
      <c r="H19" s="1">
        <f t="shared" si="0"/>
        <v>4.2553191489361701E-2</v>
      </c>
      <c r="I19" s="1">
        <f t="shared" si="1"/>
        <v>0.13333333333333333</v>
      </c>
      <c r="J19" s="1">
        <f t="shared" si="2"/>
        <v>0.72222222222222221</v>
      </c>
      <c r="K19" s="1">
        <f t="shared" si="3"/>
        <v>0.64897578125206989</v>
      </c>
      <c r="L19" s="1">
        <f t="shared" si="4"/>
        <v>0.55605213541790854</v>
      </c>
      <c r="S19">
        <v>86</v>
      </c>
    </row>
    <row r="20" spans="1:19" x14ac:dyDescent="0.3">
      <c r="A20" t="s">
        <v>12</v>
      </c>
      <c r="B20" t="s">
        <v>32</v>
      </c>
      <c r="C20">
        <v>9</v>
      </c>
      <c r="D20">
        <v>50</v>
      </c>
      <c r="E20">
        <v>31</v>
      </c>
      <c r="F20">
        <v>2</v>
      </c>
      <c r="G20">
        <v>90</v>
      </c>
      <c r="H20" s="1">
        <f t="shared" si="0"/>
        <v>2.1739130434782608E-2</v>
      </c>
      <c r="I20" s="1">
        <f t="shared" si="1"/>
        <v>1.6666666666666667</v>
      </c>
      <c r="J20" s="1">
        <f t="shared" si="2"/>
        <v>0.55555555555555558</v>
      </c>
      <c r="K20" s="1">
        <f t="shared" si="3"/>
        <v>0.8409912151190172</v>
      </c>
      <c r="L20" s="1">
        <f t="shared" si="4"/>
        <v>0.77126139573807695</v>
      </c>
      <c r="S20">
        <v>88</v>
      </c>
    </row>
    <row r="21" spans="1:19" x14ac:dyDescent="0.3">
      <c r="A21" t="s">
        <v>12</v>
      </c>
      <c r="B21" t="s">
        <v>33</v>
      </c>
      <c r="C21">
        <v>15</v>
      </c>
      <c r="D21">
        <v>53</v>
      </c>
      <c r="E21">
        <v>22</v>
      </c>
      <c r="F21">
        <v>2</v>
      </c>
      <c r="G21">
        <v>90</v>
      </c>
      <c r="H21" s="1">
        <f t="shared" si="0"/>
        <v>2.1739130434782608E-2</v>
      </c>
      <c r="I21" s="1">
        <f t="shared" si="1"/>
        <v>1.7666666666666666</v>
      </c>
      <c r="J21" s="1">
        <f t="shared" si="2"/>
        <v>0.58888888888888891</v>
      </c>
      <c r="K21" s="1">
        <f t="shared" si="3"/>
        <v>0.86911372755761884</v>
      </c>
      <c r="L21" s="1">
        <f t="shared" si="4"/>
        <v>0.76813490320123801</v>
      </c>
      <c r="S21">
        <v>88</v>
      </c>
    </row>
    <row r="22" spans="1:19" x14ac:dyDescent="0.3">
      <c r="A22" t="s">
        <v>12</v>
      </c>
      <c r="B22" t="s">
        <v>34</v>
      </c>
      <c r="C22">
        <v>18</v>
      </c>
      <c r="D22">
        <v>57</v>
      </c>
      <c r="E22">
        <v>15</v>
      </c>
      <c r="F22">
        <v>6</v>
      </c>
      <c r="G22">
        <v>90</v>
      </c>
      <c r="H22" s="1">
        <f t="shared" si="0"/>
        <v>6.25E-2</v>
      </c>
      <c r="I22" s="1">
        <f t="shared" si="1"/>
        <v>1.9</v>
      </c>
      <c r="J22" s="1">
        <f t="shared" si="2"/>
        <v>0.6333333333333333</v>
      </c>
      <c r="K22" s="1">
        <f t="shared" si="3"/>
        <v>0.82813062593273412</v>
      </c>
      <c r="L22" s="1">
        <f t="shared" si="4"/>
        <v>0.71687837555964051</v>
      </c>
      <c r="S22">
        <v>84</v>
      </c>
    </row>
    <row r="23" spans="1:19" x14ac:dyDescent="0.3">
      <c r="A23" t="s">
        <v>12</v>
      </c>
      <c r="B23" t="s">
        <v>35</v>
      </c>
      <c r="C23">
        <v>78</v>
      </c>
      <c r="D23">
        <v>3</v>
      </c>
      <c r="E23">
        <v>9</v>
      </c>
      <c r="F23">
        <v>2</v>
      </c>
      <c r="G23">
        <v>90</v>
      </c>
      <c r="H23" s="1">
        <f t="shared" si="0"/>
        <v>2.1739130434782608E-2</v>
      </c>
      <c r="I23" s="1">
        <f t="shared" si="1"/>
        <v>0.1</v>
      </c>
      <c r="J23" s="1">
        <f t="shared" si="2"/>
        <v>0.8666666666666667</v>
      </c>
      <c r="K23" s="1">
        <f t="shared" si="3"/>
        <v>0.42567563765103439</v>
      </c>
      <c r="L23" s="1">
        <f t="shared" si="4"/>
        <v>0.33540538259062064</v>
      </c>
      <c r="S23">
        <v>88</v>
      </c>
    </row>
    <row r="24" spans="1:19" x14ac:dyDescent="0.3">
      <c r="A24" t="s">
        <v>12</v>
      </c>
      <c r="B24" t="s">
        <v>36</v>
      </c>
      <c r="C24">
        <v>45</v>
      </c>
      <c r="D24">
        <v>81</v>
      </c>
      <c r="E24">
        <v>54</v>
      </c>
      <c r="F24">
        <v>7</v>
      </c>
      <c r="G24">
        <v>180</v>
      </c>
      <c r="H24" s="1">
        <f t="shared" si="0"/>
        <v>3.7433155080213901E-2</v>
      </c>
      <c r="I24" s="1">
        <f t="shared" si="1"/>
        <v>1.35</v>
      </c>
      <c r="J24" s="1">
        <f t="shared" si="2"/>
        <v>0.45</v>
      </c>
      <c r="K24" s="1">
        <f t="shared" si="3"/>
        <v>0.97131072160992293</v>
      </c>
      <c r="L24" s="1">
        <f t="shared" si="4"/>
        <v>0.91278643296595363</v>
      </c>
      <c r="S24">
        <v>173</v>
      </c>
    </row>
    <row r="25" spans="1:19" x14ac:dyDescent="0.3">
      <c r="A25" t="s">
        <v>12</v>
      </c>
      <c r="B25" t="s">
        <v>37</v>
      </c>
      <c r="C25">
        <v>43</v>
      </c>
      <c r="D25">
        <v>9</v>
      </c>
      <c r="E25">
        <v>38</v>
      </c>
      <c r="F25">
        <v>4</v>
      </c>
      <c r="G25">
        <v>90</v>
      </c>
      <c r="H25" s="1">
        <f t="shared" si="0"/>
        <v>4.2553191489361701E-2</v>
      </c>
      <c r="I25" s="1">
        <f t="shared" si="1"/>
        <v>0.30000000000000004</v>
      </c>
      <c r="J25" s="1">
        <f t="shared" si="2"/>
        <v>0.4777777777777778</v>
      </c>
      <c r="K25" s="1">
        <f t="shared" si="3"/>
        <v>0.86217829295074144</v>
      </c>
      <c r="L25" s="1">
        <f t="shared" si="4"/>
        <v>0.83064030910377817</v>
      </c>
      <c r="S25">
        <v>86</v>
      </c>
    </row>
    <row r="26" spans="1:19" x14ac:dyDescent="0.3">
      <c r="A26" t="s">
        <v>12</v>
      </c>
      <c r="B26" t="s">
        <v>38</v>
      </c>
      <c r="C26">
        <v>34</v>
      </c>
      <c r="D26">
        <v>9</v>
      </c>
      <c r="E26">
        <v>47</v>
      </c>
      <c r="F26">
        <v>1</v>
      </c>
      <c r="G26">
        <v>90</v>
      </c>
      <c r="H26" s="1">
        <f t="shared" si="0"/>
        <v>1.098901098901099E-2</v>
      </c>
      <c r="I26" s="1">
        <f t="shared" si="1"/>
        <v>0.30000000000000004</v>
      </c>
      <c r="J26" s="1">
        <f t="shared" si="2"/>
        <v>0.52222222222222225</v>
      </c>
      <c r="K26" s="1">
        <f t="shared" si="3"/>
        <v>0.85314350038044662</v>
      </c>
      <c r="L26" s="1">
        <f t="shared" si="4"/>
        <v>0.7985527668949346</v>
      </c>
      <c r="S26">
        <v>89</v>
      </c>
    </row>
    <row r="27" spans="1:19" x14ac:dyDescent="0.3">
      <c r="A27" t="s">
        <v>13</v>
      </c>
      <c r="B27" t="s">
        <v>39</v>
      </c>
      <c r="C27">
        <v>62</v>
      </c>
      <c r="D27">
        <v>7</v>
      </c>
      <c r="E27">
        <v>21</v>
      </c>
      <c r="F27">
        <v>0</v>
      </c>
      <c r="G27">
        <v>90</v>
      </c>
      <c r="H27" s="1">
        <f t="shared" si="0"/>
        <v>0</v>
      </c>
      <c r="I27" s="1">
        <f t="shared" si="1"/>
        <v>2.0666666666666664</v>
      </c>
      <c r="J27" s="1">
        <f t="shared" si="2"/>
        <v>0.68888888888888888</v>
      </c>
      <c r="K27" s="1">
        <f t="shared" si="3"/>
        <v>0.72358148709066117</v>
      </c>
      <c r="L27" s="1">
        <f t="shared" si="4"/>
        <v>0.62081555892106333</v>
      </c>
      <c r="S27">
        <v>90</v>
      </c>
    </row>
    <row r="28" spans="1:19" x14ac:dyDescent="0.3">
      <c r="A28" t="s">
        <v>13</v>
      </c>
      <c r="B28" t="s">
        <v>40</v>
      </c>
      <c r="C28">
        <v>61</v>
      </c>
      <c r="D28">
        <v>5</v>
      </c>
      <c r="E28">
        <v>24</v>
      </c>
      <c r="F28">
        <v>1</v>
      </c>
      <c r="G28">
        <v>90</v>
      </c>
      <c r="H28" s="1">
        <f t="shared" si="0"/>
        <v>1.098901098901099E-2</v>
      </c>
      <c r="I28" s="1">
        <f t="shared" si="1"/>
        <v>2.0333333333333332</v>
      </c>
      <c r="J28" s="1">
        <f t="shared" si="2"/>
        <v>0.67777777777777781</v>
      </c>
      <c r="K28" s="1">
        <f t="shared" si="3"/>
        <v>0.70694319294765384</v>
      </c>
      <c r="L28" s="1">
        <f t="shared" si="4"/>
        <v>0.61749924910192566</v>
      </c>
      <c r="S28">
        <v>89</v>
      </c>
    </row>
    <row r="29" spans="1:19" x14ac:dyDescent="0.3">
      <c r="A29" t="s">
        <v>13</v>
      </c>
      <c r="B29" t="s">
        <v>41</v>
      </c>
      <c r="C29">
        <v>54</v>
      </c>
      <c r="D29">
        <v>5</v>
      </c>
      <c r="E29">
        <v>31</v>
      </c>
      <c r="F29">
        <v>3</v>
      </c>
      <c r="G29">
        <v>90</v>
      </c>
      <c r="H29" s="1">
        <f t="shared" si="0"/>
        <v>3.2258064516129031E-2</v>
      </c>
      <c r="I29" s="1">
        <f t="shared" si="1"/>
        <v>1.7999999999999998</v>
      </c>
      <c r="J29" s="1">
        <f t="shared" si="2"/>
        <v>0.6</v>
      </c>
      <c r="K29" s="1">
        <f t="shared" si="3"/>
        <v>0.75931083127365351</v>
      </c>
      <c r="L29" s="1">
        <f t="shared" si="4"/>
        <v>0.6955864987641921</v>
      </c>
      <c r="S29">
        <v>87</v>
      </c>
    </row>
    <row r="30" spans="1:19" x14ac:dyDescent="0.3">
      <c r="A30" t="s">
        <v>13</v>
      </c>
      <c r="B30" t="s">
        <v>42</v>
      </c>
      <c r="C30">
        <v>71</v>
      </c>
      <c r="D30">
        <v>4</v>
      </c>
      <c r="E30">
        <v>15</v>
      </c>
      <c r="F30">
        <v>0</v>
      </c>
      <c r="G30">
        <v>90</v>
      </c>
      <c r="H30" s="1">
        <f t="shared" si="0"/>
        <v>0</v>
      </c>
      <c r="I30" s="1">
        <f t="shared" si="1"/>
        <v>2.3666666666666667</v>
      </c>
      <c r="J30" s="1">
        <f t="shared" si="2"/>
        <v>0.78888888888888886</v>
      </c>
      <c r="K30" s="1">
        <f t="shared" si="3"/>
        <v>0.56805672208397029</v>
      </c>
      <c r="L30" s="1">
        <f t="shared" si="4"/>
        <v>0.46750069991704885</v>
      </c>
      <c r="S30">
        <v>90</v>
      </c>
    </row>
    <row r="31" spans="1:19" x14ac:dyDescent="0.3">
      <c r="A31" t="s">
        <v>13</v>
      </c>
      <c r="B31" t="s">
        <v>43</v>
      </c>
      <c r="C31">
        <v>64</v>
      </c>
      <c r="D31">
        <v>6</v>
      </c>
      <c r="E31">
        <v>20</v>
      </c>
      <c r="F31">
        <v>1</v>
      </c>
      <c r="G31">
        <v>90</v>
      </c>
      <c r="H31" s="1">
        <f t="shared" si="0"/>
        <v>1.098901098901099E-2</v>
      </c>
      <c r="I31" s="1">
        <f t="shared" si="1"/>
        <v>2.1333333333333333</v>
      </c>
      <c r="J31" s="1">
        <f t="shared" si="2"/>
        <v>0.71111111111111114</v>
      </c>
      <c r="K31" s="1">
        <f t="shared" si="3"/>
        <v>0.68924478039954851</v>
      </c>
      <c r="L31" s="1">
        <f t="shared" si="4"/>
        <v>0.58688020157306242</v>
      </c>
      <c r="S31">
        <v>89</v>
      </c>
    </row>
    <row r="32" spans="1:19" x14ac:dyDescent="0.3">
      <c r="A32" t="s">
        <v>13</v>
      </c>
      <c r="B32" t="s">
        <v>44</v>
      </c>
      <c r="C32">
        <v>67</v>
      </c>
      <c r="D32">
        <v>1</v>
      </c>
      <c r="E32">
        <v>22</v>
      </c>
      <c r="F32">
        <v>1</v>
      </c>
      <c r="G32">
        <v>90</v>
      </c>
      <c r="H32" s="1">
        <f t="shared" si="0"/>
        <v>1.098901098901099E-2</v>
      </c>
      <c r="I32" s="1">
        <f t="shared" si="1"/>
        <v>2.2333333333333334</v>
      </c>
      <c r="J32" s="1">
        <f t="shared" si="2"/>
        <v>0.74444444444444446</v>
      </c>
      <c r="K32" s="1">
        <f t="shared" si="3"/>
        <v>0.55894282295639142</v>
      </c>
      <c r="L32" s="1">
        <f t="shared" si="4"/>
        <v>0.48869902710716817</v>
      </c>
      <c r="S32">
        <v>89</v>
      </c>
    </row>
    <row r="33" spans="1:19" x14ac:dyDescent="0.3">
      <c r="A33" t="s">
        <v>13</v>
      </c>
      <c r="B33" t="s">
        <v>45</v>
      </c>
      <c r="C33">
        <v>63</v>
      </c>
      <c r="D33">
        <v>2</v>
      </c>
      <c r="E33">
        <v>25</v>
      </c>
      <c r="F33">
        <v>3</v>
      </c>
      <c r="G33">
        <v>90</v>
      </c>
      <c r="H33" s="1">
        <f t="shared" si="0"/>
        <v>3.2258064516129031E-2</v>
      </c>
      <c r="I33" s="1">
        <f t="shared" si="1"/>
        <v>2.0999999999999996</v>
      </c>
      <c r="J33" s="1">
        <f t="shared" si="2"/>
        <v>0.7</v>
      </c>
      <c r="K33" s="1">
        <f t="shared" si="3"/>
        <v>0.62813781050928597</v>
      </c>
      <c r="L33" s="1">
        <f t="shared" si="4"/>
        <v>0.55688268630557158</v>
      </c>
      <c r="S33">
        <v>87</v>
      </c>
    </row>
    <row r="34" spans="1:19" x14ac:dyDescent="0.3">
      <c r="A34" t="s">
        <v>13</v>
      </c>
      <c r="B34" t="s">
        <v>46</v>
      </c>
      <c r="C34">
        <v>59</v>
      </c>
      <c r="D34">
        <v>6</v>
      </c>
      <c r="E34">
        <v>25</v>
      </c>
      <c r="F34">
        <v>1</v>
      </c>
      <c r="G34">
        <v>90</v>
      </c>
      <c r="H34" s="1">
        <f t="shared" ref="H34:H53" si="5">IFERROR(F34/(F34+G34),0)</f>
        <v>1.098901098901099E-2</v>
      </c>
      <c r="I34" s="1">
        <f t="shared" ref="I34:I53" si="6">IF(G34=0,0,IF(A34="F",(D34/G34)*3,IF(A34="M",(C34/G34)*3,0)))</f>
        <v>1.9666666666666668</v>
      </c>
      <c r="J34" s="1">
        <f t="shared" ref="J34:J53" si="7">IF(G34=0,0,MAX(C34/G34,D34/G34,E34/G34))</f>
        <v>0.65555555555555556</v>
      </c>
      <c r="K34" s="1">
        <f t="shared" ref="K34:K53" si="8">IF(G34=0,0, -(IF(C34=0,0,(C34/G34)*LN(C34/G34)) + IF(D34=0,0,(D34/G34)*LN(D34/G34)) + IF(E34=0,0,(E34/G34)*LN(E34/G34)) )/LN(3))</f>
        <v>0.7401833654359935</v>
      </c>
      <c r="L34" s="1">
        <f t="shared" ref="L34:L53" si="9">(K34-J34+1)/(2-1/3)</f>
        <v>0.65077668592826277</v>
      </c>
      <c r="S34">
        <v>89</v>
      </c>
    </row>
    <row r="35" spans="1:19" x14ac:dyDescent="0.3">
      <c r="A35" t="s">
        <v>13</v>
      </c>
      <c r="B35" t="s">
        <v>47</v>
      </c>
      <c r="C35">
        <v>65</v>
      </c>
      <c r="D35">
        <v>1</v>
      </c>
      <c r="E35">
        <v>24</v>
      </c>
      <c r="F35">
        <v>5</v>
      </c>
      <c r="G35">
        <v>90</v>
      </c>
      <c r="H35" s="1">
        <f t="shared" si="5"/>
        <v>5.2631578947368418E-2</v>
      </c>
      <c r="I35" s="1">
        <f t="shared" si="6"/>
        <v>2.1666666666666665</v>
      </c>
      <c r="J35" s="1">
        <f t="shared" si="7"/>
        <v>0.72222222222222221</v>
      </c>
      <c r="K35" s="1">
        <f t="shared" si="8"/>
        <v>0.58027149796114319</v>
      </c>
      <c r="L35" s="1">
        <f t="shared" si="9"/>
        <v>0.51482956544335257</v>
      </c>
      <c r="S35">
        <v>85</v>
      </c>
    </row>
    <row r="36" spans="1:19" x14ac:dyDescent="0.3">
      <c r="A36" t="s">
        <v>13</v>
      </c>
      <c r="B36" t="s">
        <v>48</v>
      </c>
      <c r="C36">
        <v>66</v>
      </c>
      <c r="D36">
        <v>3</v>
      </c>
      <c r="E36">
        <v>21</v>
      </c>
      <c r="F36">
        <v>3</v>
      </c>
      <c r="G36">
        <v>90</v>
      </c>
      <c r="H36" s="1">
        <f t="shared" si="5"/>
        <v>3.2258064516129031E-2</v>
      </c>
      <c r="I36" s="1">
        <f t="shared" si="6"/>
        <v>2.1999999999999997</v>
      </c>
      <c r="J36" s="1">
        <f t="shared" si="7"/>
        <v>0.73333333333333328</v>
      </c>
      <c r="K36" s="1">
        <f t="shared" si="8"/>
        <v>0.61931513186028264</v>
      </c>
      <c r="L36" s="1">
        <f t="shared" si="9"/>
        <v>0.53158907911616959</v>
      </c>
      <c r="S36">
        <v>87</v>
      </c>
    </row>
    <row r="37" spans="1:19" x14ac:dyDescent="0.3">
      <c r="A37" t="s">
        <v>13</v>
      </c>
      <c r="B37" t="s">
        <v>49</v>
      </c>
      <c r="C37">
        <v>65</v>
      </c>
      <c r="D37">
        <v>5</v>
      </c>
      <c r="E37">
        <v>20</v>
      </c>
      <c r="F37">
        <v>2</v>
      </c>
      <c r="G37">
        <v>90</v>
      </c>
      <c r="H37" s="1">
        <f t="shared" si="5"/>
        <v>2.1739130434782608E-2</v>
      </c>
      <c r="I37" s="1">
        <f t="shared" si="6"/>
        <v>2.1666666666666665</v>
      </c>
      <c r="J37" s="1">
        <f t="shared" si="7"/>
        <v>0.72222222222222221</v>
      </c>
      <c r="K37" s="1">
        <f t="shared" si="8"/>
        <v>0.66433165458712606</v>
      </c>
      <c r="L37" s="1">
        <f t="shared" si="9"/>
        <v>0.56526565941894225</v>
      </c>
      <c r="S37">
        <v>88</v>
      </c>
    </row>
    <row r="38" spans="1:19" x14ac:dyDescent="0.3">
      <c r="A38" t="s">
        <v>13</v>
      </c>
      <c r="B38" t="s">
        <v>50</v>
      </c>
      <c r="C38">
        <v>69</v>
      </c>
      <c r="D38">
        <v>5</v>
      </c>
      <c r="E38">
        <v>16</v>
      </c>
      <c r="F38">
        <v>4</v>
      </c>
      <c r="G38">
        <v>90</v>
      </c>
      <c r="H38" s="1">
        <f t="shared" si="5"/>
        <v>4.2553191489361701E-2</v>
      </c>
      <c r="I38" s="1">
        <f t="shared" si="6"/>
        <v>2.3000000000000003</v>
      </c>
      <c r="J38" s="1">
        <f t="shared" si="7"/>
        <v>0.76666666666666672</v>
      </c>
      <c r="K38" s="1">
        <f t="shared" si="8"/>
        <v>0.61108316188958878</v>
      </c>
      <c r="L38" s="1">
        <f t="shared" si="9"/>
        <v>0.50664989713375319</v>
      </c>
      <c r="S38">
        <v>86</v>
      </c>
    </row>
    <row r="39" spans="1:19" x14ac:dyDescent="0.3">
      <c r="A39" t="s">
        <v>13</v>
      </c>
      <c r="B39" t="s">
        <v>51</v>
      </c>
      <c r="C39">
        <v>60</v>
      </c>
      <c r="D39">
        <v>8</v>
      </c>
      <c r="E39">
        <v>22</v>
      </c>
      <c r="F39">
        <v>5</v>
      </c>
      <c r="G39">
        <v>90</v>
      </c>
      <c r="H39" s="1">
        <f t="shared" si="5"/>
        <v>5.2631578947368418E-2</v>
      </c>
      <c r="I39" s="1">
        <f t="shared" si="6"/>
        <v>2</v>
      </c>
      <c r="J39" s="1">
        <f t="shared" si="7"/>
        <v>0.66666666666666663</v>
      </c>
      <c r="K39" s="1">
        <f t="shared" si="8"/>
        <v>0.7553340099992889</v>
      </c>
      <c r="L39" s="1">
        <f t="shared" si="9"/>
        <v>0.65320040599957341</v>
      </c>
      <c r="S39">
        <v>85</v>
      </c>
    </row>
    <row r="40" spans="1:19" x14ac:dyDescent="0.3">
      <c r="A40" t="s">
        <v>13</v>
      </c>
      <c r="B40" t="s">
        <v>52</v>
      </c>
      <c r="C40">
        <v>61</v>
      </c>
      <c r="D40">
        <v>4</v>
      </c>
      <c r="E40">
        <v>25</v>
      </c>
      <c r="F40">
        <v>4</v>
      </c>
      <c r="G40">
        <v>90</v>
      </c>
      <c r="H40" s="1">
        <f t="shared" si="5"/>
        <v>4.2553191489361701E-2</v>
      </c>
      <c r="I40" s="1">
        <f t="shared" si="6"/>
        <v>2.0333333333333332</v>
      </c>
      <c r="J40" s="1">
        <f t="shared" si="7"/>
        <v>0.67777777777777781</v>
      </c>
      <c r="K40" s="1">
        <f t="shared" si="8"/>
        <v>0.68978425735061555</v>
      </c>
      <c r="L40" s="1">
        <f t="shared" si="9"/>
        <v>0.60720388774370271</v>
      </c>
      <c r="S40">
        <v>86</v>
      </c>
    </row>
    <row r="41" spans="1:19" x14ac:dyDescent="0.3">
      <c r="A41" t="s">
        <v>13</v>
      </c>
      <c r="B41" t="s">
        <v>53</v>
      </c>
      <c r="C41">
        <v>52</v>
      </c>
      <c r="D41">
        <v>5</v>
      </c>
      <c r="E41">
        <v>33</v>
      </c>
      <c r="F41">
        <v>1</v>
      </c>
      <c r="G41">
        <v>90</v>
      </c>
      <c r="H41" s="1">
        <f t="shared" si="5"/>
        <v>1.098901098901099E-2</v>
      </c>
      <c r="I41" s="1">
        <f t="shared" si="6"/>
        <v>1.7333333333333332</v>
      </c>
      <c r="J41" s="1">
        <f t="shared" si="7"/>
        <v>0.57777777777777772</v>
      </c>
      <c r="K41" s="1">
        <f t="shared" si="8"/>
        <v>0.76951885025757361</v>
      </c>
      <c r="L41" s="1">
        <f t="shared" si="9"/>
        <v>0.71504464348787755</v>
      </c>
      <c r="S41">
        <v>89</v>
      </c>
    </row>
    <row r="42" spans="1:19" x14ac:dyDescent="0.3">
      <c r="A42" t="s">
        <v>13</v>
      </c>
      <c r="B42" t="s">
        <v>54</v>
      </c>
      <c r="C42">
        <v>66</v>
      </c>
      <c r="D42">
        <v>4</v>
      </c>
      <c r="E42">
        <v>20</v>
      </c>
      <c r="F42">
        <v>2</v>
      </c>
      <c r="G42">
        <v>90</v>
      </c>
      <c r="H42" s="1">
        <f t="shared" si="5"/>
        <v>2.1739130434782608E-2</v>
      </c>
      <c r="I42" s="1">
        <f t="shared" si="6"/>
        <v>2.1999999999999997</v>
      </c>
      <c r="J42" s="1">
        <f t="shared" si="7"/>
        <v>0.73333333333333328</v>
      </c>
      <c r="K42" s="1">
        <f t="shared" si="8"/>
        <v>0.63722646682252004</v>
      </c>
      <c r="L42" s="1">
        <f t="shared" si="9"/>
        <v>0.54233588009351208</v>
      </c>
      <c r="S42">
        <v>88</v>
      </c>
    </row>
    <row r="43" spans="1:19" x14ac:dyDescent="0.3">
      <c r="A43" t="s">
        <v>13</v>
      </c>
      <c r="B43" t="s">
        <v>55</v>
      </c>
      <c r="C43">
        <v>68</v>
      </c>
      <c r="D43">
        <v>5</v>
      </c>
      <c r="E43">
        <v>17</v>
      </c>
      <c r="F43">
        <v>2</v>
      </c>
      <c r="G43">
        <v>90</v>
      </c>
      <c r="H43" s="1">
        <f t="shared" si="5"/>
        <v>2.1739130434782608E-2</v>
      </c>
      <c r="I43" s="1">
        <f t="shared" si="6"/>
        <v>2.2666666666666666</v>
      </c>
      <c r="J43" s="1">
        <f t="shared" si="7"/>
        <v>0.75555555555555554</v>
      </c>
      <c r="K43" s="1">
        <f t="shared" si="8"/>
        <v>0.62548130142131841</v>
      </c>
      <c r="L43" s="1">
        <f t="shared" si="9"/>
        <v>0.52195544751945766</v>
      </c>
      <c r="S43">
        <v>88</v>
      </c>
    </row>
    <row r="44" spans="1:19" x14ac:dyDescent="0.3">
      <c r="A44" t="s">
        <v>13</v>
      </c>
      <c r="B44" t="s">
        <v>56</v>
      </c>
      <c r="C44">
        <v>58</v>
      </c>
      <c r="D44">
        <v>14</v>
      </c>
      <c r="E44">
        <v>18</v>
      </c>
      <c r="F44">
        <v>2</v>
      </c>
      <c r="G44">
        <v>90</v>
      </c>
      <c r="H44" s="1">
        <f t="shared" si="5"/>
        <v>2.1739130434782608E-2</v>
      </c>
      <c r="I44" s="1">
        <f t="shared" si="6"/>
        <v>1.9333333333333336</v>
      </c>
      <c r="J44" s="1">
        <f t="shared" si="7"/>
        <v>0.64444444444444449</v>
      </c>
      <c r="K44" s="1">
        <f t="shared" si="8"/>
        <v>0.81419565282150108</v>
      </c>
      <c r="L44" s="1">
        <f t="shared" si="9"/>
        <v>0.70185072502623402</v>
      </c>
      <c r="S44">
        <v>88</v>
      </c>
    </row>
    <row r="45" spans="1:19" x14ac:dyDescent="0.3">
      <c r="A45" t="s">
        <v>13</v>
      </c>
      <c r="B45" t="s">
        <v>57</v>
      </c>
      <c r="C45">
        <v>51</v>
      </c>
      <c r="D45">
        <v>10</v>
      </c>
      <c r="E45">
        <v>29</v>
      </c>
      <c r="F45">
        <v>2</v>
      </c>
      <c r="G45">
        <v>90</v>
      </c>
      <c r="H45" s="1">
        <f t="shared" si="5"/>
        <v>2.1739130434782608E-2</v>
      </c>
      <c r="I45" s="1">
        <f t="shared" si="6"/>
        <v>1.7</v>
      </c>
      <c r="J45" s="1">
        <f t="shared" si="7"/>
        <v>0.56666666666666665</v>
      </c>
      <c r="K45" s="1">
        <f t="shared" si="8"/>
        <v>0.84735517834056306</v>
      </c>
      <c r="L45" s="1">
        <f t="shared" si="9"/>
        <v>0.76841310700433785</v>
      </c>
      <c r="S45">
        <v>88</v>
      </c>
    </row>
    <row r="46" spans="1:19" x14ac:dyDescent="0.3">
      <c r="A46" t="s">
        <v>13</v>
      </c>
      <c r="B46" t="s">
        <v>58</v>
      </c>
      <c r="C46">
        <v>65</v>
      </c>
      <c r="D46">
        <v>5</v>
      </c>
      <c r="E46">
        <v>20</v>
      </c>
      <c r="F46">
        <v>2</v>
      </c>
      <c r="G46">
        <v>90</v>
      </c>
      <c r="H46" s="1">
        <f t="shared" si="5"/>
        <v>2.1739130434782608E-2</v>
      </c>
      <c r="I46" s="1">
        <f t="shared" si="6"/>
        <v>2.1666666666666665</v>
      </c>
      <c r="J46" s="1">
        <f t="shared" si="7"/>
        <v>0.72222222222222221</v>
      </c>
      <c r="K46" s="1">
        <f t="shared" si="8"/>
        <v>0.66433165458712606</v>
      </c>
      <c r="L46" s="1">
        <f t="shared" si="9"/>
        <v>0.56526565941894225</v>
      </c>
      <c r="S46">
        <v>88</v>
      </c>
    </row>
    <row r="47" spans="1:19" x14ac:dyDescent="0.3">
      <c r="A47" t="s">
        <v>13</v>
      </c>
      <c r="B47" t="s">
        <v>59</v>
      </c>
      <c r="C47">
        <v>52</v>
      </c>
      <c r="D47">
        <v>6</v>
      </c>
      <c r="E47">
        <v>33</v>
      </c>
      <c r="F47">
        <v>2</v>
      </c>
      <c r="G47">
        <v>90</v>
      </c>
      <c r="H47" s="1">
        <f t="shared" si="5"/>
        <v>2.1739130434782608E-2</v>
      </c>
      <c r="I47" s="1">
        <f t="shared" si="6"/>
        <v>1.7333333333333332</v>
      </c>
      <c r="J47" s="1">
        <f t="shared" si="7"/>
        <v>0.57777777777777772</v>
      </c>
      <c r="K47" s="1">
        <f t="shared" si="8"/>
        <v>0.78768765421813225</v>
      </c>
      <c r="L47" s="1">
        <f t="shared" si="9"/>
        <v>0.7259459258642128</v>
      </c>
      <c r="S47">
        <v>88</v>
      </c>
    </row>
    <row r="48" spans="1:19" x14ac:dyDescent="0.3">
      <c r="A48" t="s">
        <v>13</v>
      </c>
      <c r="B48" t="s">
        <v>60</v>
      </c>
      <c r="C48">
        <v>57</v>
      </c>
      <c r="D48">
        <v>10</v>
      </c>
      <c r="E48">
        <v>21</v>
      </c>
      <c r="F48">
        <v>2</v>
      </c>
      <c r="G48">
        <v>90</v>
      </c>
      <c r="H48" s="1">
        <f t="shared" si="5"/>
        <v>2.1739130434782608E-2</v>
      </c>
      <c r="I48" s="1">
        <f t="shared" si="6"/>
        <v>1.9</v>
      </c>
      <c r="J48" s="1">
        <f t="shared" si="7"/>
        <v>0.6333333333333333</v>
      </c>
      <c r="K48" s="1">
        <f t="shared" si="8"/>
        <v>0.79462374094598587</v>
      </c>
      <c r="L48" s="1">
        <f t="shared" si="9"/>
        <v>0.69677424456759163</v>
      </c>
      <c r="S48">
        <v>88</v>
      </c>
    </row>
    <row r="49" spans="1:19" x14ac:dyDescent="0.3">
      <c r="A49" t="s">
        <v>13</v>
      </c>
      <c r="B49" t="s">
        <v>61</v>
      </c>
      <c r="C49">
        <v>63</v>
      </c>
      <c r="D49">
        <v>0</v>
      </c>
      <c r="E49">
        <v>27</v>
      </c>
      <c r="F49">
        <v>9</v>
      </c>
      <c r="G49">
        <v>90</v>
      </c>
      <c r="H49" s="1">
        <f t="shared" si="5"/>
        <v>9.0909090909090912E-2</v>
      </c>
      <c r="I49" s="1">
        <f t="shared" si="6"/>
        <v>2.0999999999999996</v>
      </c>
      <c r="J49" s="1">
        <f t="shared" si="7"/>
        <v>0.7</v>
      </c>
      <c r="K49" s="1">
        <f t="shared" si="8"/>
        <v>0.55603264987638901</v>
      </c>
      <c r="L49" s="1">
        <f t="shared" si="9"/>
        <v>0.51361958992583345</v>
      </c>
      <c r="S49">
        <v>81</v>
      </c>
    </row>
    <row r="50" spans="1:19" x14ac:dyDescent="0.3">
      <c r="A50" t="s">
        <v>13</v>
      </c>
      <c r="B50" t="s">
        <v>62</v>
      </c>
      <c r="C50">
        <v>60</v>
      </c>
      <c r="D50">
        <v>2</v>
      </c>
      <c r="E50">
        <v>28</v>
      </c>
      <c r="F50">
        <v>3</v>
      </c>
      <c r="G50">
        <v>90</v>
      </c>
      <c r="H50" s="1">
        <f t="shared" si="5"/>
        <v>3.2258064516129031E-2</v>
      </c>
      <c r="I50" s="1">
        <f t="shared" si="6"/>
        <v>2</v>
      </c>
      <c r="J50" s="1">
        <f t="shared" si="7"/>
        <v>0.66666666666666663</v>
      </c>
      <c r="K50" s="1">
        <f t="shared" si="8"/>
        <v>0.65369513700810822</v>
      </c>
      <c r="L50" s="1">
        <f t="shared" si="9"/>
        <v>0.59221708220486491</v>
      </c>
      <c r="S50">
        <v>87</v>
      </c>
    </row>
    <row r="51" spans="1:19" x14ac:dyDescent="0.3">
      <c r="A51" t="s">
        <v>13</v>
      </c>
      <c r="B51" t="s">
        <v>63</v>
      </c>
      <c r="C51">
        <v>65</v>
      </c>
      <c r="D51">
        <v>5</v>
      </c>
      <c r="E51">
        <v>20</v>
      </c>
      <c r="F51">
        <v>2</v>
      </c>
      <c r="G51">
        <v>90</v>
      </c>
      <c r="H51" s="1">
        <f t="shared" si="5"/>
        <v>2.1739130434782608E-2</v>
      </c>
      <c r="I51" s="1">
        <f t="shared" si="6"/>
        <v>2.1666666666666665</v>
      </c>
      <c r="J51" s="1">
        <f t="shared" si="7"/>
        <v>0.72222222222222221</v>
      </c>
      <c r="K51" s="1">
        <f t="shared" si="8"/>
        <v>0.66433165458712606</v>
      </c>
      <c r="L51" s="1">
        <f t="shared" si="9"/>
        <v>0.56526565941894225</v>
      </c>
      <c r="S51">
        <v>88</v>
      </c>
    </row>
    <row r="52" spans="1:19" x14ac:dyDescent="0.3">
      <c r="A52" t="s">
        <v>13</v>
      </c>
      <c r="B52" t="s">
        <v>64</v>
      </c>
      <c r="C52">
        <v>47</v>
      </c>
      <c r="D52">
        <v>9</v>
      </c>
      <c r="E52">
        <v>34</v>
      </c>
      <c r="F52">
        <v>2</v>
      </c>
      <c r="G52">
        <v>90</v>
      </c>
      <c r="H52" s="1">
        <f t="shared" si="5"/>
        <v>2.1739130434782608E-2</v>
      </c>
      <c r="I52" s="1">
        <f t="shared" si="6"/>
        <v>1.5666666666666669</v>
      </c>
      <c r="J52" s="1">
        <f t="shared" si="7"/>
        <v>0.52222222222222225</v>
      </c>
      <c r="K52" s="1">
        <f t="shared" si="8"/>
        <v>0.85314350038044651</v>
      </c>
      <c r="L52" s="1">
        <f t="shared" si="9"/>
        <v>0.79855276689493448</v>
      </c>
      <c r="S52">
        <v>88</v>
      </c>
    </row>
    <row r="53" spans="1:19" x14ac:dyDescent="0.3">
      <c r="A53" t="s">
        <v>13</v>
      </c>
      <c r="B53" t="s">
        <v>65</v>
      </c>
      <c r="C53">
        <v>63</v>
      </c>
      <c r="D53">
        <v>6</v>
      </c>
      <c r="E53">
        <v>21</v>
      </c>
      <c r="F53">
        <v>1</v>
      </c>
      <c r="G53">
        <v>90</v>
      </c>
      <c r="H53" s="1">
        <f t="shared" si="5"/>
        <v>1.098901098901099E-2</v>
      </c>
      <c r="I53" s="1">
        <f t="shared" si="6"/>
        <v>2.0999999999999996</v>
      </c>
      <c r="J53" s="1">
        <f t="shared" si="7"/>
        <v>0.7</v>
      </c>
      <c r="K53" s="1">
        <f t="shared" si="8"/>
        <v>0.7006804581672933</v>
      </c>
      <c r="L53" s="1">
        <f t="shared" si="9"/>
        <v>0.60040827490037607</v>
      </c>
      <c r="S53">
        <v>89</v>
      </c>
    </row>
    <row r="54" spans="1:19" x14ac:dyDescent="0.3">
      <c r="A54" t="s">
        <v>12</v>
      </c>
      <c r="B54" t="s">
        <v>67</v>
      </c>
      <c r="I54" s="1">
        <f>IFERROR(AVERAGEIF($A$2:$A$53,"F",$I$2:$I$53),"")</f>
        <v>0.94000000000000017</v>
      </c>
      <c r="J54" s="1">
        <f>IFERROR(AVERAGEIF($A$2:$A$53,"F",$J$2:$J$53),"")</f>
        <v>0.54355555555555557</v>
      </c>
      <c r="K54" s="1">
        <f>IFERROR(AVERAGEIF($A$2:$A$53,"F",$K$2:$K$53),"")</f>
        <v>0.85415321698744673</v>
      </c>
      <c r="L54" s="1">
        <f>IFERROR(AVERAGEIF($A$2:$A$53,"F",$L$2:$L$53),"")</f>
        <v>0.7863585968591349</v>
      </c>
    </row>
    <row r="55" spans="1:19" x14ac:dyDescent="0.3">
      <c r="A55" t="s">
        <v>13</v>
      </c>
      <c r="B55" t="s">
        <v>68</v>
      </c>
      <c r="I55" s="1">
        <f>IFERROR(AVERAGEIF($A$2:$A$53,"M",$I$2:$I$53),"")</f>
        <v>2.0419753086419754</v>
      </c>
      <c r="J55" s="1">
        <f>IFERROR(AVERAGEIF($A$2:$A$53,"M",$J$2:$J$53),"")</f>
        <v>0.68065843621399158</v>
      </c>
      <c r="K55" s="1">
        <f>IFERROR(AVERAGEIF($A$2:$A$53,"M",$K$2:$K$53),"")</f>
        <v>0.69121572688071442</v>
      </c>
      <c r="L55" s="1">
        <f>IFERROR(AVERAGEIF($A$2:$A$53,"M",$L$2:$L$53),"")</f>
        <v>0.60633437440003357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2025-08-17T13:12:28Z</dcterms:created>
  <dcterms:modified xsi:type="dcterms:W3CDTF">2025-09-09T11:46:41Z</dcterms:modified>
</cp:coreProperties>
</file>